
<file path=[Content_Types].xml><?xml version="1.0" encoding="utf-8"?>
<Types xmlns="http://schemas.openxmlformats.org/package/2006/content-types">
  <Default Extension="rels" ContentType="application/vnd.openxmlformats-package.relationships+xml"/>
  <Default Extension="xlsrvcdf"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d.docs.live.net/2ff3f0340dbbdc35/Documents/"/>
    </mc:Choice>
  </mc:AlternateContent>
  <xr:revisionPtr revIDLastSave="799" documentId="11_153B8428DB1D7DC4E46E19531C13517075AE3407" xr6:coauthVersionLast="47" xr6:coauthVersionMax="47" xr10:uidLastSave="{AD013395-24EA-473D-A8A2-F6F3570F5DA3}"/>
  <bookViews>
    <workbookView xWindow="-108" yWindow="-108" windowWidth="23256" windowHeight="12456" activeTab="2" xr2:uid="{00000000-000D-0000-FFFF-FFFF00000000}"/>
  </bookViews>
  <sheets>
    <sheet name="SalesData" sheetId="1" r:id="rId1"/>
    <sheet name="Pivot Tables" sheetId="3" r:id="rId2"/>
    <sheet name="Dashboard" sheetId="4" r:id="rId3"/>
  </sheets>
  <definedNames>
    <definedName name="Slicer_Product">#N/A</definedName>
    <definedName name="Slicer_Region">#N/A</definedName>
    <definedName name="Slicer_Sales_Person">#N/A</definedName>
  </definedNames>
  <calcPr calcId="191028"/>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51" i="1"/>
  <c r="F51" i="1"/>
  <c r="H51" i="1" s="1"/>
  <c r="I51" i="1" s="1"/>
  <c r="G50" i="1"/>
  <c r="F50" i="1"/>
  <c r="H50" i="1" s="1"/>
  <c r="I50" i="1" s="1"/>
  <c r="G49" i="1"/>
  <c r="F49" i="1"/>
  <c r="H49" i="1" s="1"/>
  <c r="I49" i="1" s="1"/>
  <c r="G48" i="1"/>
  <c r="F48" i="1"/>
  <c r="H48" i="1" s="1"/>
  <c r="I48" i="1" s="1"/>
  <c r="G47" i="1"/>
  <c r="F47" i="1"/>
  <c r="H47" i="1" s="1"/>
  <c r="I47" i="1" s="1"/>
  <c r="G46" i="1"/>
  <c r="F46" i="1"/>
  <c r="H46" i="1" s="1"/>
  <c r="I46" i="1" s="1"/>
  <c r="G45" i="1"/>
  <c r="F45" i="1"/>
  <c r="H45" i="1" s="1"/>
  <c r="I45" i="1" s="1"/>
  <c r="G44" i="1"/>
  <c r="F44" i="1"/>
  <c r="H44" i="1" s="1"/>
  <c r="I44" i="1" s="1"/>
  <c r="G43" i="1"/>
  <c r="F43" i="1"/>
  <c r="H43" i="1" s="1"/>
  <c r="I43" i="1" s="1"/>
  <c r="G42" i="1"/>
  <c r="F42" i="1"/>
  <c r="H42" i="1" s="1"/>
  <c r="I42" i="1" s="1"/>
  <c r="G41" i="1"/>
  <c r="F41" i="1"/>
  <c r="H41" i="1" s="1"/>
  <c r="I41" i="1" s="1"/>
  <c r="G40" i="1"/>
  <c r="F40" i="1"/>
  <c r="H40" i="1" s="1"/>
  <c r="I40" i="1" s="1"/>
  <c r="G39" i="1"/>
  <c r="F39" i="1"/>
  <c r="H39" i="1" s="1"/>
  <c r="I39" i="1" s="1"/>
  <c r="G38" i="1"/>
  <c r="F38" i="1"/>
  <c r="H38" i="1" s="1"/>
  <c r="I38" i="1" s="1"/>
  <c r="G37" i="1"/>
  <c r="F37" i="1"/>
  <c r="H37" i="1" s="1"/>
  <c r="I37" i="1" s="1"/>
  <c r="G36" i="1"/>
  <c r="F36" i="1"/>
  <c r="H36" i="1" s="1"/>
  <c r="I36" i="1" s="1"/>
  <c r="G35" i="1"/>
  <c r="F35" i="1"/>
  <c r="H35" i="1" s="1"/>
  <c r="I35" i="1" s="1"/>
  <c r="G34" i="1"/>
  <c r="F34" i="1"/>
  <c r="H34" i="1" s="1"/>
  <c r="I34" i="1" s="1"/>
  <c r="G33" i="1"/>
  <c r="F33" i="1"/>
  <c r="H33" i="1" s="1"/>
  <c r="I33" i="1" s="1"/>
  <c r="G32" i="1"/>
  <c r="F32" i="1"/>
  <c r="H32" i="1" s="1"/>
  <c r="I32" i="1" s="1"/>
  <c r="G31" i="1"/>
  <c r="F31" i="1"/>
  <c r="H31" i="1" s="1"/>
  <c r="I31" i="1" s="1"/>
  <c r="G30" i="1"/>
  <c r="F30" i="1"/>
  <c r="H30" i="1" s="1"/>
  <c r="I30" i="1" s="1"/>
  <c r="G29" i="1"/>
  <c r="F29" i="1"/>
  <c r="H29" i="1" s="1"/>
  <c r="I29" i="1" s="1"/>
  <c r="G28" i="1"/>
  <c r="F28" i="1"/>
  <c r="H28" i="1" s="1"/>
  <c r="I28" i="1" s="1"/>
  <c r="G27" i="1"/>
  <c r="F27" i="1"/>
  <c r="H27" i="1" s="1"/>
  <c r="I27" i="1" s="1"/>
  <c r="G26" i="1"/>
  <c r="F26" i="1"/>
  <c r="H26" i="1" s="1"/>
  <c r="I26" i="1" s="1"/>
  <c r="G25" i="1"/>
  <c r="F25" i="1"/>
  <c r="H25" i="1" s="1"/>
  <c r="I25" i="1" s="1"/>
  <c r="G24" i="1"/>
  <c r="F24" i="1"/>
  <c r="H24" i="1" s="1"/>
  <c r="I24" i="1" s="1"/>
  <c r="G23" i="1"/>
  <c r="F23" i="1"/>
  <c r="H23" i="1" s="1"/>
  <c r="I23" i="1" s="1"/>
  <c r="G22" i="1"/>
  <c r="F22" i="1"/>
  <c r="H22" i="1" s="1"/>
  <c r="I22" i="1" s="1"/>
  <c r="G21" i="1"/>
  <c r="F21" i="1"/>
  <c r="H21" i="1" s="1"/>
  <c r="I21" i="1" s="1"/>
  <c r="G20" i="1"/>
  <c r="F20" i="1"/>
  <c r="H20" i="1" s="1"/>
  <c r="I20" i="1" s="1"/>
  <c r="G19" i="1"/>
  <c r="F19" i="1"/>
  <c r="H19" i="1" s="1"/>
  <c r="I19" i="1" s="1"/>
  <c r="G18" i="1"/>
  <c r="F18" i="1"/>
  <c r="H18" i="1" s="1"/>
  <c r="I18" i="1" s="1"/>
  <c r="G17" i="1"/>
  <c r="F17" i="1"/>
  <c r="H17" i="1" s="1"/>
  <c r="I17" i="1" s="1"/>
  <c r="G16" i="1"/>
  <c r="F16" i="1"/>
  <c r="H16" i="1" s="1"/>
  <c r="I16" i="1" s="1"/>
  <c r="G15" i="1"/>
  <c r="F15" i="1"/>
  <c r="H15" i="1" s="1"/>
  <c r="I15" i="1" s="1"/>
  <c r="G14" i="1"/>
  <c r="F14" i="1"/>
  <c r="H14" i="1" s="1"/>
  <c r="I14" i="1" s="1"/>
  <c r="G13" i="1"/>
  <c r="F13" i="1"/>
  <c r="H13" i="1" s="1"/>
  <c r="I13" i="1" s="1"/>
  <c r="F12" i="1"/>
  <c r="H12" i="1" s="1"/>
  <c r="I12" i="1" s="1"/>
  <c r="G11" i="1"/>
  <c r="F11" i="1"/>
  <c r="H11" i="1" s="1"/>
  <c r="I11" i="1" s="1"/>
  <c r="G10" i="1"/>
  <c r="F10" i="1"/>
  <c r="H10" i="1" s="1"/>
  <c r="I10" i="1" s="1"/>
  <c r="G9" i="1"/>
  <c r="F9" i="1"/>
  <c r="H9" i="1" s="1"/>
  <c r="I9" i="1" s="1"/>
  <c r="H8" i="1"/>
  <c r="I8" i="1" s="1"/>
  <c r="G8" i="1"/>
  <c r="F8" i="1"/>
  <c r="H7" i="1"/>
  <c r="I7" i="1" s="1"/>
  <c r="G7" i="1"/>
  <c r="F7" i="1"/>
  <c r="I6" i="1"/>
  <c r="H6" i="1"/>
  <c r="G6" i="1"/>
  <c r="F6" i="1"/>
  <c r="H5" i="1"/>
  <c r="I5" i="1" s="1"/>
  <c r="G5" i="1"/>
  <c r="F5" i="1"/>
  <c r="K4" i="1"/>
  <c r="G4" i="1"/>
  <c r="F4" i="1"/>
  <c r="H4" i="1" s="1"/>
  <c r="I4" i="1" s="1"/>
  <c r="G3" i="1"/>
  <c r="F3" i="1"/>
  <c r="H3" i="1" s="1"/>
  <c r="I3" i="1" s="1"/>
  <c r="G2" i="1"/>
  <c r="F2" i="1"/>
  <c r="H2" i="1" s="1"/>
  <c r="K8" i="1" l="1"/>
  <c r="I2" i="1"/>
  <c r="K6" i="1" s="1"/>
  <c r="K2" i="1"/>
</calcChain>
</file>

<file path=xl/sharedStrings.xml><?xml version="1.0" encoding="utf-8"?>
<sst xmlns="http://schemas.openxmlformats.org/spreadsheetml/2006/main" count="206" uniqueCount="36">
  <si>
    <t>Date</t>
  </si>
  <si>
    <t>Sales Person</t>
  </si>
  <si>
    <t>Region</t>
  </si>
  <si>
    <t>Product</t>
  </si>
  <si>
    <t>Units Sold</t>
  </si>
  <si>
    <t>Unit Price</t>
  </si>
  <si>
    <t>Cost of Goods</t>
  </si>
  <si>
    <t>Total Sales</t>
  </si>
  <si>
    <t>Profit</t>
  </si>
  <si>
    <t>Grand Total</t>
  </si>
  <si>
    <t>Andrew</t>
  </si>
  <si>
    <t>West</t>
  </si>
  <si>
    <t>Tent</t>
  </si>
  <si>
    <t>Grace</t>
  </si>
  <si>
    <t>East</t>
  </si>
  <si>
    <t>Blender</t>
  </si>
  <si>
    <t>Unit sold</t>
  </si>
  <si>
    <t>Ella</t>
  </si>
  <si>
    <t>South</t>
  </si>
  <si>
    <t>Action Figure</t>
  </si>
  <si>
    <t>Cameron</t>
  </si>
  <si>
    <t>North</t>
  </si>
  <si>
    <t>Novel</t>
  </si>
  <si>
    <t>Total Profit</t>
  </si>
  <si>
    <t>Megan</t>
  </si>
  <si>
    <t>Sneakers</t>
  </si>
  <si>
    <t>Carolyn</t>
  </si>
  <si>
    <t>Average Sales</t>
  </si>
  <si>
    <t>Virginia</t>
  </si>
  <si>
    <t>Connor</t>
  </si>
  <si>
    <t>Anna</t>
  </si>
  <si>
    <t>Moisturizer</t>
  </si>
  <si>
    <t>Nicholas</t>
  </si>
  <si>
    <t>Smartphone</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</si>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</sst>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quot;Rs.&quot;\ * #,##0_ ;_ &quot;Rs.&quot;\ * \-#,##0_ ;_ &quot;Rs.&quot;\ * &quot;-&quot;_ ;_ @_ "/>
    <numFmt numFmtId="165" formatCode="_ [$₹-4009]\ * #,##0.00_ ;_ [$₹-4009]\ * \-#,##0.00_ ;_ [$₹-4009]\ * &quot;-&quot;??_ ;_ @_ "/>
    <numFmt numFmtId="166" formatCode="[$₹-4009]\ #,##0"/>
    <numFmt numFmtId="167" formatCode="[$₹-4009]\ #,##0.00"/>
    <numFmt numFmtId="170" formatCode="_ [$₹-4009]\ * #,##0_ ;_ [$₹-4009]\ * \-#,##0_ ;_ [$₹-4009]\ * &quot;-&quot;??_ ;_ @_ "/>
  </numFmts>
  <fonts count="4" x14ac:knownFonts="1">
    <font>
      <sz val="11"/>
      <color theme="1"/>
      <name val="Aptos Narrow"/>
      <scheme val="minor"/>
    </font>
    <font>
      <sz val="11"/>
      <color theme="0"/>
      <name val="Aptos narrow"/>
    </font>
    <font>
      <sz val="11"/>
      <color theme="1"/>
      <name val="Aptos narrow"/>
    </font>
    <font>
      <sz val="11"/>
      <color theme="1"/>
      <name val="Aptos Narrow"/>
      <scheme val="minor"/>
    </font>
  </fonts>
  <fills count="3">
    <fill>
      <patternFill patternType="none"/>
    </fill>
    <fill>
      <patternFill patternType="gray125"/>
    </fill>
    <fill>
      <patternFill patternType="solid">
        <fgColor rgb="FF002060"/>
        <bgColor rgb="FF002060"/>
      </patternFill>
    </fill>
  </fills>
  <borders count="2">
    <border>
      <left/>
      <right/>
      <top/>
      <bottom/>
      <diagonal/>
    </border>
    <border>
      <left/>
      <right/>
      <top/>
      <bottom style="thick">
        <color rgb="FFFFC000"/>
      </bottom>
      <diagonal/>
    </border>
  </borders>
  <cellStyleXfs count="2">
    <xf numFmtId="0" fontId="0" fillId="0" borderId="0"/>
    <xf numFmtId="43" fontId="3" fillId="0" borderId="0" applyFont="0" applyFill="0" applyBorder="0" applyAlignment="0" applyProtection="0"/>
  </cellStyleXfs>
  <cellXfs count="17">
    <xf numFmtId="0" fontId="0" fillId="0" borderId="0" xfId="0"/>
    <xf numFmtId="0" fontId="1" fillId="2" borderId="1" xfId="0" applyFont="1" applyFill="1" applyBorder="1" applyAlignment="1">
      <alignment horizontal="center" vertical="center"/>
    </xf>
    <xf numFmtId="14" fontId="2" fillId="0" borderId="0" xfId="0" applyNumberFormat="1" applyFont="1" applyAlignment="1">
      <alignment horizontal="center"/>
    </xf>
    <xf numFmtId="0" fontId="3" fillId="0" borderId="0" xfId="0" applyFont="1"/>
    <xf numFmtId="0" fontId="2" fillId="0" borderId="0" xfId="0" applyFont="1" applyAlignment="1">
      <alignment horizontal="left"/>
    </xf>
    <xf numFmtId="164" fontId="2" fillId="0" borderId="0" xfId="0" applyNumberFormat="1" applyFont="1"/>
    <xf numFmtId="0" fontId="0" fillId="0" borderId="0" xfId="0" applyAlignment="1">
      <alignment wrapText="1"/>
    </xf>
    <xf numFmtId="164" fontId="0" fillId="0" borderId="0" xfId="0" applyNumberFormat="1"/>
    <xf numFmtId="0" fontId="1" fillId="2" borderId="0" xfId="0" applyFont="1" applyFill="1" applyAlignment="1">
      <alignment horizontal="center" vertical="center"/>
    </xf>
    <xf numFmtId="0" fontId="0" fillId="0" borderId="0" xfId="0" pivotButton="1"/>
    <xf numFmtId="165" fontId="0" fillId="0" borderId="0" xfId="0" applyNumberFormat="1"/>
    <xf numFmtId="166" fontId="0" fillId="0" borderId="0" xfId="0" applyNumberFormat="1"/>
    <xf numFmtId="167" fontId="0" fillId="0" borderId="0" xfId="0" applyNumberFormat="1"/>
    <xf numFmtId="0" fontId="0" fillId="0" borderId="0" xfId="0" applyNumberFormat="1"/>
    <xf numFmtId="170" fontId="0" fillId="0" borderId="0" xfId="0" applyNumberFormat="1" applyAlignment="1">
      <alignment wrapText="1"/>
    </xf>
    <xf numFmtId="170" fontId="0" fillId="0" borderId="0" xfId="1" applyNumberFormat="1" applyFont="1"/>
    <xf numFmtId="170" fontId="0" fillId="0" borderId="0" xfId="0" applyNumberFormat="1"/>
  </cellXfs>
  <cellStyles count="2">
    <cellStyle name="Comma" xfId="1" builtinId="3"/>
    <cellStyle name="Normal" xfId="0" builtinId="0"/>
  </cellStyles>
  <dxfs count="578">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167" formatCode="[$₹-4009]\ #,##0.00"/>
    </dxf>
    <dxf>
      <numFmt numFmtId="167" formatCode="[$₹-4009]\ #,##0.00"/>
    </dxf>
    <dxf>
      <numFmt numFmtId="166" formatCode="[$₹-4009]\ #,##0"/>
    </dxf>
    <dxf>
      <numFmt numFmtId="166" formatCode="[$₹-4009]\ #,##0"/>
    </dxf>
    <dxf>
      <numFmt numFmtId="0" formatCode="General"/>
    </dxf>
    <dxf>
      <numFmt numFmtId="0" formatCode="General"/>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6" formatCode="[$₹-4009]\ #,##0"/>
    </dxf>
    <dxf>
      <numFmt numFmtId="166" formatCode="[$₹-4009]\ #,##0"/>
    </dxf>
    <dxf>
      <numFmt numFmtId="167" formatCode="[$₹-4009]\ #,##0.00"/>
    </dxf>
    <dxf>
      <numFmt numFmtId="167" formatCode="[$₹-4009]\ #,##0.00"/>
    </dxf>
    <dxf>
      <numFmt numFmtId="166" formatCode="[$₹-4009]\ #,##0"/>
    </dxf>
    <dxf>
      <numFmt numFmtId="165" formatCode="_ [$₹-4009]\ * #,##0.00_ ;_ [$₹-4009]\ * \-#,##0.00_ ;_ [$₹-4009]\ * &quot;-&quot;??_ ;_ @_ "/>
    </dxf>
    <dxf>
      <numFmt numFmtId="165" formatCode="_ [$₹-4009]\ * #,##0.00_ ;_ [$₹-4009]\ * \-#,##0.00_ ;_ [$₹-4009]\ * &quot;-&quot;??_ ;_ @_ "/>
    </dxf>
    <dxf>
      <font>
        <b val="0"/>
        <i val="0"/>
        <strike val="0"/>
        <condense val="0"/>
        <extend val="0"/>
        <outline val="0"/>
        <shadow val="0"/>
        <u val="none"/>
        <vertAlign val="baseline"/>
        <sz val="11"/>
        <color theme="1"/>
        <name val="Aptos narrow"/>
        <scheme val="none"/>
      </font>
      <numFmt numFmtId="164" formatCode="_ &quot;Rs.&quot;\ * #,##0_ ;_ &quot;Rs.&quot;\ * \-#,##0_ ;_ &quot;Rs.&quot;\ * &quot;-&quot;_ ;_ @_ "/>
    </dxf>
    <dxf>
      <font>
        <b val="0"/>
        <i val="0"/>
        <strike val="0"/>
        <condense val="0"/>
        <extend val="0"/>
        <outline val="0"/>
        <shadow val="0"/>
        <u val="none"/>
        <vertAlign val="baseline"/>
        <sz val="11"/>
        <color theme="1"/>
        <name val="Aptos narrow"/>
        <scheme val="none"/>
      </font>
      <numFmt numFmtId="164" formatCode="_ &quot;Rs.&quot;\ * #,##0_ ;_ &quot;Rs.&quot;\ * \-#,##0_ ;_ &quot;Rs.&quot;\ * &quot;-&quot;_ ;_ @_ "/>
    </dxf>
    <dxf>
      <font>
        <b val="0"/>
        <i val="0"/>
        <strike val="0"/>
        <condense val="0"/>
        <extend val="0"/>
        <outline val="0"/>
        <shadow val="0"/>
        <u val="none"/>
        <vertAlign val="baseline"/>
        <sz val="11"/>
        <color theme="1"/>
        <name val="Aptos narrow"/>
        <scheme val="none"/>
      </font>
      <numFmt numFmtId="164" formatCode="_ &quot;Rs.&quot;\ * #,##0_ ;_ &quot;Rs.&quot;\ * \-#,##0_ ;_ &quot;Rs.&quot;\ * &quot;-&quot;_ ;_ @_ "/>
    </dxf>
    <dxf>
      <font>
        <b val="0"/>
        <i val="0"/>
        <strike val="0"/>
        <condense val="0"/>
        <extend val="0"/>
        <outline val="0"/>
        <shadow val="0"/>
        <u val="none"/>
        <vertAlign val="baseline"/>
        <sz val="11"/>
        <color theme="1"/>
        <name val="Aptos narrow"/>
        <scheme val="none"/>
      </font>
      <numFmt numFmtId="164" formatCode="_ &quot;Rs.&quot;\ * #,##0_ ;_ &quot;Rs.&quot;\ * \-#,##0_ ;_ &quot;Rs.&quot;\ * &quot;-&quot;_ ;_ @_ "/>
    </dxf>
    <dxf>
      <font>
        <b val="0"/>
        <i val="0"/>
        <strike val="0"/>
        <condense val="0"/>
        <extend val="0"/>
        <outline val="0"/>
        <shadow val="0"/>
        <u val="none"/>
        <vertAlign val="baseline"/>
        <sz val="11"/>
        <color theme="1"/>
        <name val="Aptos narrow"/>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scheme val="none"/>
      </font>
    </dxf>
    <dxf>
      <font>
        <b val="0"/>
        <i val="0"/>
        <strike val="0"/>
        <condense val="0"/>
        <extend val="0"/>
        <outline val="0"/>
        <shadow val="0"/>
        <u val="none"/>
        <vertAlign val="baseline"/>
        <sz val="11"/>
        <color theme="0"/>
        <name val="Aptos narrow"/>
        <scheme val="none"/>
      </font>
      <fill>
        <patternFill patternType="solid">
          <fgColor rgb="FF002060"/>
          <bgColor rgb="FF002060"/>
        </patternFill>
      </fill>
      <alignment horizontal="center" vertical="center" textRotation="0" wrapText="0" indent="0" justifyLastLine="0" shrinkToFit="0" readingOrder="0"/>
    </dxf>
    <dxf>
      <numFmt numFmtId="167" formatCode="[$₹-4009]\ #,##0.00"/>
    </dxf>
    <dxf>
      <numFmt numFmtId="167" formatCode="[$₹-4009]\ #,##0.00"/>
    </dxf>
    <dxf>
      <numFmt numFmtId="165" formatCode="_ [$₹-4009]\ * #,##0.00_ ;_ [$₹-4009]\ * \-#,##0.00_ ;_ [$₹-4009]\ * &quot;-&quot;??_ ;_ @_ "/>
    </dxf>
    <dxf>
      <numFmt numFmtId="165" formatCode="_ [$₹-4009]\ * #,##0.00_ ;_ [$₹-4009]\ * \-#,##0.00_ ;_ [$₹-4009]\ * &quot;-&quot;??_ ;_ @_ "/>
    </dxf>
    <dxf>
      <numFmt numFmtId="166" formatCode="[$₹-4009]\ #,##0"/>
    </dxf>
    <dxf>
      <numFmt numFmtId="0" formatCode="General"/>
    </dxf>
    <dxf>
      <numFmt numFmtId="0" formatCode="General"/>
    </dxf>
    <dxf>
      <numFmt numFmtId="166" formatCode="[$₹-4009]\ #,##0"/>
    </dxf>
    <dxf>
      <numFmt numFmtId="166" formatCode="[$₹-4009]\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 Tables!PivotTable4</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Unit Sold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47594050743651E-2"/>
          <c:y val="0.31293409494333441"/>
          <c:w val="0.89030796150481195"/>
          <c:h val="0.50154218439458076"/>
        </c:manualLayout>
      </c:layout>
      <c:lineChart>
        <c:grouping val="standard"/>
        <c:varyColors val="0"/>
        <c:ser>
          <c:idx val="0"/>
          <c:order val="0"/>
          <c:tx>
            <c:strRef>
              <c:f>'Pivot Tables'!$L$2</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Tables'!$K$3:$K$13</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Tables'!$L$3:$L$13</c:f>
              <c:numCache>
                <c:formatCode>General</c:formatCode>
                <c:ptCount val="10"/>
                <c:pt idx="0">
                  <c:v>475</c:v>
                </c:pt>
                <c:pt idx="1">
                  <c:v>401</c:v>
                </c:pt>
                <c:pt idx="2">
                  <c:v>474</c:v>
                </c:pt>
                <c:pt idx="3">
                  <c:v>427</c:v>
                </c:pt>
                <c:pt idx="4">
                  <c:v>439</c:v>
                </c:pt>
                <c:pt idx="5">
                  <c:v>579</c:v>
                </c:pt>
                <c:pt idx="6">
                  <c:v>479</c:v>
                </c:pt>
                <c:pt idx="7">
                  <c:v>653</c:v>
                </c:pt>
                <c:pt idx="8">
                  <c:v>557</c:v>
                </c:pt>
                <c:pt idx="9">
                  <c:v>221</c:v>
                </c:pt>
              </c:numCache>
            </c:numRef>
          </c:val>
          <c:smooth val="0"/>
          <c:extLst>
            <c:ext xmlns:c16="http://schemas.microsoft.com/office/drawing/2014/chart" uri="{C3380CC4-5D6E-409C-BE32-E72D297353CC}">
              <c16:uniqueId val="{00000000-7366-4EEB-A1A8-4D46174D6079}"/>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6794503"/>
        <c:axId val="1519225863"/>
      </c:lineChart>
      <c:catAx>
        <c:axId val="10679450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519225863"/>
        <c:crosses val="autoZero"/>
        <c:auto val="1"/>
        <c:lblAlgn val="ctr"/>
        <c:lblOffset val="100"/>
        <c:noMultiLvlLbl val="0"/>
      </c:catAx>
      <c:valAx>
        <c:axId val="1519225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6794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 Tables!PivotTable1</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4994232987312572"/>
              <c:y val="-0.10115606936416187"/>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9607843137254902"/>
              <c:y val="5.780346820809248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7301038062283741"/>
              <c:y val="0.12042389210019268"/>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0765090349865439"/>
              <c:y val="-0.19749518304431604"/>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4994232987312572"/>
              <c:y val="-0.10115606936416187"/>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9607843137254902"/>
              <c:y val="5.780346820809248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7301038062283741"/>
              <c:y val="0.12042389210019268"/>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0765090349865439"/>
              <c:y val="-0.19749518304431604"/>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bg1"/>
          </a:solidFill>
          <a:ln w="19050">
            <a:solidFill>
              <a:schemeClr val="accent1"/>
            </a:solidFill>
          </a:ln>
          <a:effectLst/>
        </c:spPr>
        <c:dLbl>
          <c:idx val="0"/>
          <c:layout>
            <c:manualLayout>
              <c:x val="0.1845444059976932"/>
              <c:y val="-0.197495183044315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bg1"/>
          </a:solidFill>
          <a:ln w="19050">
            <a:solidFill>
              <a:schemeClr val="accent1"/>
            </a:solidFill>
          </a:ln>
          <a:effectLst/>
        </c:spPr>
        <c:dLbl>
          <c:idx val="0"/>
          <c:layout>
            <c:manualLayout>
              <c:x val="0.17301038062283722"/>
              <c:y val="0.105973025048169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bg1"/>
          </a:solidFill>
          <a:ln w="19050">
            <a:solidFill>
              <a:schemeClr val="accent1"/>
            </a:solidFill>
          </a:ln>
          <a:effectLst/>
        </c:spPr>
        <c:dLbl>
          <c:idx val="0"/>
          <c:layout>
            <c:manualLayout>
              <c:x val="-0.18454440599769323"/>
              <c:y val="8.670520231213872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bg1"/>
          </a:solidFill>
          <a:ln w="19050">
            <a:solidFill>
              <a:schemeClr val="accent1"/>
            </a:solidFill>
          </a:ln>
          <a:effectLst/>
        </c:spPr>
        <c:dLbl>
          <c:idx val="0"/>
          <c:layout>
            <c:manualLayout>
              <c:x val="-0.17301038062283736"/>
              <c:y val="-0.158959537572254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Tables'!$B$2</c:f>
              <c:strCache>
                <c:ptCount val="1"/>
                <c:pt idx="0">
                  <c:v>Total</c:v>
                </c:pt>
              </c:strCache>
            </c:strRef>
          </c:tx>
          <c:spPr>
            <a:solidFill>
              <a:schemeClr val="bg1"/>
            </a:solidFill>
            <a:ln w="19050">
              <a:solidFill>
                <a:schemeClr val="accent1"/>
              </a:solidFill>
            </a:ln>
            <a:effectLst/>
          </c:spPr>
          <c:dPt>
            <c:idx val="0"/>
            <c:bubble3D val="0"/>
            <c:spPr>
              <a:solidFill>
                <a:schemeClr val="bg1"/>
              </a:solidFill>
              <a:ln w="19050">
                <a:solidFill>
                  <a:schemeClr val="accent1"/>
                </a:solidFill>
              </a:ln>
              <a:effectLst/>
            </c:spPr>
            <c:extLst>
              <c:ext xmlns:c16="http://schemas.microsoft.com/office/drawing/2014/chart" uri="{C3380CC4-5D6E-409C-BE32-E72D297353CC}">
                <c16:uniqueId val="{00000001-181B-4045-8601-6CC00A362CFF}"/>
              </c:ext>
            </c:extLst>
          </c:dPt>
          <c:dPt>
            <c:idx val="1"/>
            <c:bubble3D val="0"/>
            <c:spPr>
              <a:solidFill>
                <a:schemeClr val="bg1"/>
              </a:solidFill>
              <a:ln w="19050">
                <a:solidFill>
                  <a:schemeClr val="accent1"/>
                </a:solidFill>
              </a:ln>
              <a:effectLst/>
            </c:spPr>
            <c:extLst>
              <c:ext xmlns:c16="http://schemas.microsoft.com/office/drawing/2014/chart" uri="{C3380CC4-5D6E-409C-BE32-E72D297353CC}">
                <c16:uniqueId val="{00000003-181B-4045-8601-6CC00A362CFF}"/>
              </c:ext>
            </c:extLst>
          </c:dPt>
          <c:dPt>
            <c:idx val="2"/>
            <c:bubble3D val="0"/>
            <c:spPr>
              <a:solidFill>
                <a:schemeClr val="bg1"/>
              </a:solidFill>
              <a:ln w="19050">
                <a:solidFill>
                  <a:schemeClr val="accent1"/>
                </a:solidFill>
              </a:ln>
              <a:effectLst/>
            </c:spPr>
            <c:extLst>
              <c:ext xmlns:c16="http://schemas.microsoft.com/office/drawing/2014/chart" uri="{C3380CC4-5D6E-409C-BE32-E72D297353CC}">
                <c16:uniqueId val="{00000005-181B-4045-8601-6CC00A362CFF}"/>
              </c:ext>
            </c:extLst>
          </c:dPt>
          <c:dPt>
            <c:idx val="3"/>
            <c:bubble3D val="0"/>
            <c:spPr>
              <a:solidFill>
                <a:schemeClr val="bg1"/>
              </a:solidFill>
              <a:ln w="19050">
                <a:solidFill>
                  <a:schemeClr val="accent1"/>
                </a:solidFill>
              </a:ln>
              <a:effectLst/>
            </c:spPr>
            <c:extLst>
              <c:ext xmlns:c16="http://schemas.microsoft.com/office/drawing/2014/chart" uri="{C3380CC4-5D6E-409C-BE32-E72D297353CC}">
                <c16:uniqueId val="{00000007-181B-4045-8601-6CC00A362CFF}"/>
              </c:ext>
            </c:extLst>
          </c:dPt>
          <c:dLbls>
            <c:dLbl>
              <c:idx val="0"/>
              <c:layout>
                <c:manualLayout>
                  <c:x val="0.1845444059976932"/>
                  <c:y val="-0.1974951830443159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1B-4045-8601-6CC00A362CFF}"/>
                </c:ext>
              </c:extLst>
            </c:dLbl>
            <c:dLbl>
              <c:idx val="1"/>
              <c:layout>
                <c:manualLayout>
                  <c:x val="0.17301038062283722"/>
                  <c:y val="0.1059730250481695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1B-4045-8601-6CC00A362CFF}"/>
                </c:ext>
              </c:extLst>
            </c:dLbl>
            <c:dLbl>
              <c:idx val="2"/>
              <c:layout>
                <c:manualLayout>
                  <c:x val="-0.18454440599769323"/>
                  <c:y val="8.6705202312138727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1B-4045-8601-6CC00A362CFF}"/>
                </c:ext>
              </c:extLst>
            </c:dLbl>
            <c:dLbl>
              <c:idx val="3"/>
              <c:layout>
                <c:manualLayout>
                  <c:x val="-0.17301038062283736"/>
                  <c:y val="-0.1589595375722543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81B-4045-8601-6CC00A362CF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Tables'!$A$3:$A$7</c:f>
              <c:strCache>
                <c:ptCount val="4"/>
                <c:pt idx="0">
                  <c:v>East</c:v>
                </c:pt>
                <c:pt idx="1">
                  <c:v>North</c:v>
                </c:pt>
                <c:pt idx="2">
                  <c:v>South</c:v>
                </c:pt>
                <c:pt idx="3">
                  <c:v>West</c:v>
                </c:pt>
              </c:strCache>
            </c:strRef>
          </c:cat>
          <c:val>
            <c:numRef>
              <c:f>'Pivot Tables'!$B$3:$B$7</c:f>
              <c:numCache>
                <c:formatCode>_ [$₹-4009]\ * #,##0.00_ ;_ [$₹-4009]\ * \-#,##0.00_ ;_ [$₹-4009]\ * "-"??_ ;_ @_ </c:formatCode>
                <c:ptCount val="4"/>
                <c:pt idx="0">
                  <c:v>3534400</c:v>
                </c:pt>
                <c:pt idx="1">
                  <c:v>2661400</c:v>
                </c:pt>
                <c:pt idx="2">
                  <c:v>2870600</c:v>
                </c:pt>
                <c:pt idx="3">
                  <c:v>3878100</c:v>
                </c:pt>
              </c:numCache>
            </c:numRef>
          </c:val>
          <c:extLst>
            <c:ext xmlns:c16="http://schemas.microsoft.com/office/drawing/2014/chart" uri="{C3380CC4-5D6E-409C-BE32-E72D297353CC}">
              <c16:uniqueId val="{00000008-181B-4045-8601-6CC00A362C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 Tables!PivotTable3</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Tables'!$I$2</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Tables'!$H$3:$H$10</c:f>
              <c:strCache>
                <c:ptCount val="7"/>
                <c:pt idx="0">
                  <c:v>Action Figure</c:v>
                </c:pt>
                <c:pt idx="1">
                  <c:v>Blender</c:v>
                </c:pt>
                <c:pt idx="2">
                  <c:v>Moisturizer</c:v>
                </c:pt>
                <c:pt idx="3">
                  <c:v>Novel</c:v>
                </c:pt>
                <c:pt idx="4">
                  <c:v>Smartphone</c:v>
                </c:pt>
                <c:pt idx="5">
                  <c:v>Sneakers</c:v>
                </c:pt>
                <c:pt idx="6">
                  <c:v>Tent</c:v>
                </c:pt>
              </c:strCache>
            </c:strRef>
          </c:cat>
          <c:val>
            <c:numRef>
              <c:f>'Pivot Tables'!$I$3:$I$10</c:f>
              <c:numCache>
                <c:formatCode>[$₹-4009]\ #,##0</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EE45-445C-AD52-C20447A99043}"/>
            </c:ext>
          </c:extLst>
        </c:ser>
        <c:dLbls>
          <c:dLblPos val="outEnd"/>
          <c:showLegendKey val="0"/>
          <c:showVal val="1"/>
          <c:showCatName val="0"/>
          <c:showSerName val="0"/>
          <c:showPercent val="0"/>
          <c:showBubbleSize val="0"/>
        </c:dLbls>
        <c:gapWidth val="269"/>
        <c:overlap val="-20"/>
        <c:axId val="1900807176"/>
        <c:axId val="1900809224"/>
      </c:barChart>
      <c:catAx>
        <c:axId val="1900807176"/>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00809224"/>
        <c:crosses val="autoZero"/>
        <c:auto val="1"/>
        <c:lblAlgn val="ctr"/>
        <c:lblOffset val="100"/>
        <c:noMultiLvlLbl val="0"/>
      </c:catAx>
      <c:valAx>
        <c:axId val="1900809224"/>
        <c:scaling>
          <c:orientation val="minMax"/>
        </c:scaling>
        <c:delete val="0"/>
        <c:axPos val="b"/>
        <c:majorGridlines>
          <c:spPr>
            <a:ln w="9525" cap="flat" cmpd="sng" algn="ctr">
              <a:solidFill>
                <a:schemeClr val="lt1">
                  <a:alpha val="2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008071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2026.xlsx]Pivot Tables!PivotTable2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 Person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87705314986556"/>
          <c:y val="0.21558275016429679"/>
          <c:w val="0.78897886677638229"/>
          <c:h val="0.50154218439458076"/>
        </c:manualLayout>
      </c:layout>
      <c:barChart>
        <c:barDir val="col"/>
        <c:grouping val="clustered"/>
        <c:varyColors val="0"/>
        <c:ser>
          <c:idx val="0"/>
          <c:order val="0"/>
          <c:tx>
            <c:strRef>
              <c:f>'Pivot Tables'!$F$2</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Tables'!$E$3:$E$13</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Tables'!$F$3:$F$13</c:f>
              <c:numCache>
                <c:formatCode>[$₹-4009]\ #,##0.00</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EB53-484E-AAB7-1E336F0A3EAB}"/>
            </c:ext>
          </c:extLst>
        </c:ser>
        <c:dLbls>
          <c:dLblPos val="outEnd"/>
          <c:showLegendKey val="0"/>
          <c:showVal val="1"/>
          <c:showCatName val="0"/>
          <c:showSerName val="0"/>
          <c:showPercent val="0"/>
          <c:showBubbleSize val="0"/>
        </c:dLbls>
        <c:gapWidth val="269"/>
        <c:overlap val="-20"/>
        <c:axId val="1519246343"/>
        <c:axId val="1935938568"/>
      </c:barChart>
      <c:catAx>
        <c:axId val="1519246343"/>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935938568"/>
        <c:crosses val="autoZero"/>
        <c:auto val="1"/>
        <c:lblAlgn val="ctr"/>
        <c:lblOffset val="100"/>
        <c:noMultiLvlLbl val="0"/>
      </c:catAx>
      <c:valAx>
        <c:axId val="1935938568"/>
        <c:scaling>
          <c:orientation val="minMax"/>
        </c:scaling>
        <c:delete val="0"/>
        <c:axPos val="l"/>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92463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xlsrvcdf"/><Relationship Id="rId7" Type="http://schemas.openxmlformats.org/officeDocument/2006/relationships/chart" Target="../charts/chart3.xml"/><Relationship Id="rId2" Type="http://schemas.openxmlformats.org/officeDocument/2006/relationships/hyperlink" Target="https://freepngimg.com/png/62439-computer-portable-icons-dollar-scalable-vector-graphics" TargetMode="External"/><Relationship Id="rId1" Type="http://schemas.openxmlformats.org/officeDocument/2006/relationships/image" Target="../media/image1.xlsrvcdf"/><Relationship Id="rId6" Type="http://schemas.openxmlformats.org/officeDocument/2006/relationships/chart" Target="../charts/chart2.xml"/><Relationship Id="rId11" Type="http://schemas.openxmlformats.org/officeDocument/2006/relationships/hyperlink" Target="https://freepngimg.com/png/62932-computer-icons-scalable-vector-graphics-coin-euro" TargetMode="External"/><Relationship Id="rId5" Type="http://schemas.openxmlformats.org/officeDocument/2006/relationships/chart" Target="../charts/chart1.xml"/><Relationship Id="rId10" Type="http://schemas.openxmlformats.org/officeDocument/2006/relationships/image" Target="../media/image4.xlsrvcdf"/><Relationship Id="rId4" Type="http://schemas.openxmlformats.org/officeDocument/2006/relationships/hyperlink" Target="https://freepngimg.com/png/70861-icons-money-bag-computer-coin-bag,-icon" TargetMode="External"/><Relationship Id="rId9" Type="http://schemas.openxmlformats.org/officeDocument/2006/relationships/image" Target="../media/image3.xlsrvcdf"/></Relationships>
</file>

<file path=xl/drawings/drawing1.xml><?xml version="1.0" encoding="utf-8"?>
<xdr:wsDr xmlns:xdr="http://schemas.openxmlformats.org/drawingml/2006/spreadsheetDrawing" xmlns:a="http://schemas.openxmlformats.org/drawingml/2006/main">
  <xdr:twoCellAnchor>
    <xdr:from>
      <xdr:col>3</xdr:col>
      <xdr:colOff>281940</xdr:colOff>
      <xdr:row>0</xdr:row>
      <xdr:rowOff>144780</xdr:rowOff>
    </xdr:from>
    <xdr:to>
      <xdr:col>14</xdr:col>
      <xdr:colOff>99060</xdr:colOff>
      <xdr:row>3</xdr:row>
      <xdr:rowOff>121920</xdr:rowOff>
    </xdr:to>
    <xdr:sp macro="" textlink="">
      <xdr:nvSpPr>
        <xdr:cNvPr id="88" name="TextBox 142">
          <a:extLst>
            <a:ext uri="{FF2B5EF4-FFF2-40B4-BE49-F238E27FC236}">
              <a16:creationId xmlns:a16="http://schemas.microsoft.com/office/drawing/2014/main" id="{16115630-55FA-168C-D569-689E2D975513}"/>
            </a:ext>
          </a:extLst>
        </xdr:cNvPr>
        <xdr:cNvSpPr txBox="1"/>
      </xdr:nvSpPr>
      <xdr:spPr>
        <a:xfrm>
          <a:off x="2110740" y="144780"/>
          <a:ext cx="652272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t>                </a:t>
          </a:r>
          <a:r>
            <a:rPr lang="en-IN" sz="3200">
              <a:solidFill>
                <a:schemeClr val="accent1"/>
              </a:solidFill>
            </a:rPr>
            <a:t>SALES DASHBOARD - 2024</a:t>
          </a:r>
        </a:p>
      </xdr:txBody>
    </xdr:sp>
    <xdr:clientData/>
  </xdr:twoCellAnchor>
  <xdr:twoCellAnchor>
    <xdr:from>
      <xdr:col>0</xdr:col>
      <xdr:colOff>0</xdr:colOff>
      <xdr:row>0</xdr:row>
      <xdr:rowOff>0</xdr:rowOff>
    </xdr:from>
    <xdr:to>
      <xdr:col>24</xdr:col>
      <xdr:colOff>544286</xdr:colOff>
      <xdr:row>5</xdr:row>
      <xdr:rowOff>28575</xdr:rowOff>
    </xdr:to>
    <xdr:sp macro="" textlink="">
      <xdr:nvSpPr>
        <xdr:cNvPr id="3" name="Rounded Rectangle 2">
          <a:extLst>
            <a:ext uri="{FF2B5EF4-FFF2-40B4-BE49-F238E27FC236}">
              <a16:creationId xmlns:a16="http://schemas.microsoft.com/office/drawing/2014/main" id="{96F870A4-1991-0331-3E8F-81D058B98439}"/>
            </a:ext>
          </a:extLst>
        </xdr:cNvPr>
        <xdr:cNvSpPr/>
      </xdr:nvSpPr>
      <xdr:spPr>
        <a:xfrm>
          <a:off x="0" y="0"/>
          <a:ext cx="15174686" cy="953861"/>
        </a:xfrm>
        <a:prstGeom prst="roundRect">
          <a:avLst/>
        </a:prstGeom>
        <a:solidFill>
          <a:schemeClr val="accent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clientData/>
  </xdr:twoCellAnchor>
  <xdr:twoCellAnchor>
    <xdr:from>
      <xdr:col>0</xdr:col>
      <xdr:colOff>279491</xdr:colOff>
      <xdr:row>5</xdr:row>
      <xdr:rowOff>179887</xdr:rowOff>
    </xdr:from>
    <xdr:to>
      <xdr:col>5</xdr:col>
      <xdr:colOff>533400</xdr:colOff>
      <xdr:row>11</xdr:row>
      <xdr:rowOff>174171</xdr:rowOff>
    </xdr:to>
    <xdr:grpSp>
      <xdr:nvGrpSpPr>
        <xdr:cNvPr id="9" name="Group 8">
          <a:extLst>
            <a:ext uri="{FF2B5EF4-FFF2-40B4-BE49-F238E27FC236}">
              <a16:creationId xmlns:a16="http://schemas.microsoft.com/office/drawing/2014/main" id="{39CEBA4F-5E5E-36B3-E672-1EE0E2FFC855}"/>
            </a:ext>
          </a:extLst>
        </xdr:cNvPr>
        <xdr:cNvGrpSpPr/>
      </xdr:nvGrpSpPr>
      <xdr:grpSpPr>
        <a:xfrm>
          <a:off x="279491" y="1105173"/>
          <a:ext cx="3301909" cy="1104627"/>
          <a:chOff x="40005" y="1072515"/>
          <a:chExt cx="1864995" cy="784860"/>
        </a:xfrm>
      </xdr:grpSpPr>
      <xdr:sp macro="" textlink="">
        <xdr:nvSpPr>
          <xdr:cNvPr id="5" name="Rounded Rectangle 4">
            <a:extLst>
              <a:ext uri="{FF2B5EF4-FFF2-40B4-BE49-F238E27FC236}">
                <a16:creationId xmlns:a16="http://schemas.microsoft.com/office/drawing/2014/main" id="{3E6287B3-2B55-A952-A2EE-B5D8971B21E5}"/>
              </a:ext>
              <a:ext uri="{147F2762-F138-4A5C-976F-8EAC2B608ADB}">
                <a16:predDERef xmlns:a16="http://schemas.microsoft.com/office/drawing/2014/main" pred="{96F870A4-1991-0331-3E8F-81D058B98439}"/>
              </a:ext>
            </a:extLst>
          </xdr:cNvPr>
          <xdr:cNvSpPr/>
        </xdr:nvSpPr>
        <xdr:spPr>
          <a:xfrm>
            <a:off x="47625" y="1085850"/>
            <a:ext cx="185737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7" name="Rounded Rectangle 6">
            <a:extLst>
              <a:ext uri="{FF2B5EF4-FFF2-40B4-BE49-F238E27FC236}">
                <a16:creationId xmlns:a16="http://schemas.microsoft.com/office/drawing/2014/main" id="{BED243D9-F04F-4F26-B689-E032111ED5D3}"/>
              </a:ext>
              <a:ext uri="{147F2762-F138-4A5C-976F-8EAC2B608ADB}">
                <a16:predDERef xmlns:a16="http://schemas.microsoft.com/office/drawing/2014/main" pred="{3E6287B3-2B55-A952-A2EE-B5D8971B21E5}"/>
              </a:ext>
            </a:extLst>
          </xdr:cNvPr>
          <xdr:cNvSpPr/>
        </xdr:nvSpPr>
        <xdr:spPr>
          <a:xfrm>
            <a:off x="40005" y="1072515"/>
            <a:ext cx="695325"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sp macro="" textlink="">
        <xdr:nvSpPr>
          <xdr:cNvPr id="8" name="TextBox 7">
            <a:extLst>
              <a:ext uri="{FF2B5EF4-FFF2-40B4-BE49-F238E27FC236}">
                <a16:creationId xmlns:a16="http://schemas.microsoft.com/office/drawing/2014/main" id="{0246CD3E-29C6-848F-E7EA-E6B5C805C559}"/>
              </a:ext>
              <a:ext uri="{147F2762-F138-4A5C-976F-8EAC2B608ADB}">
                <a16:predDERef xmlns:a16="http://schemas.microsoft.com/office/drawing/2014/main" pred="{BED243D9-F04F-4F26-B689-E032111ED5D3}"/>
              </a:ext>
            </a:extLst>
          </xdr:cNvPr>
          <xdr:cNvSpPr txBox="1"/>
        </xdr:nvSpPr>
        <xdr:spPr>
          <a:xfrm>
            <a:off x="819150" y="1116330"/>
            <a:ext cx="952500" cy="30670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2000">
                <a:solidFill>
                  <a:schemeClr val="accent1"/>
                </a:solidFill>
                <a:latin typeface="+mn-lt"/>
                <a:ea typeface="+mn-lt"/>
                <a:cs typeface="+mn-lt"/>
              </a:rPr>
              <a:t>Total</a:t>
            </a:r>
            <a:r>
              <a:rPr lang="en-US" sz="2000" baseline="0">
                <a:solidFill>
                  <a:schemeClr val="accent1"/>
                </a:solidFill>
                <a:latin typeface="+mn-lt"/>
                <a:ea typeface="+mn-lt"/>
                <a:cs typeface="+mn-lt"/>
              </a:rPr>
              <a:t> Sales</a:t>
            </a:r>
            <a:endParaRPr lang="en-US" sz="2000">
              <a:solidFill>
                <a:schemeClr val="accent1"/>
              </a:solidFill>
              <a:latin typeface="+mn-lt"/>
              <a:ea typeface="+mn-lt"/>
              <a:cs typeface="+mn-lt"/>
            </a:endParaRPr>
          </a:p>
          <a:p>
            <a:pPr marL="0" indent="0" algn="l"/>
            <a:endParaRPr lang="en-US" sz="1400">
              <a:solidFill>
                <a:schemeClr val="accent1">
                  <a:lumMod val="60000"/>
                  <a:lumOff val="40000"/>
                </a:schemeClr>
              </a:solidFill>
              <a:latin typeface="+mn-lt"/>
              <a:ea typeface="+mn-lt"/>
              <a:cs typeface="+mn-lt"/>
            </a:endParaRPr>
          </a:p>
        </xdr:txBody>
      </xdr:sp>
      <xdr:sp macro="" textlink="SalesData!K2">
        <xdr:nvSpPr>
          <xdr:cNvPr id="4" name="TextBox 11">
            <a:extLst>
              <a:ext uri="{FF2B5EF4-FFF2-40B4-BE49-F238E27FC236}">
                <a16:creationId xmlns:a16="http://schemas.microsoft.com/office/drawing/2014/main" id="{01358393-BC9D-CB15-4CCF-58A75F94C272}"/>
              </a:ext>
              <a:ext uri="{147F2762-F138-4A5C-976F-8EAC2B608ADB}">
                <a16:predDERef xmlns:a16="http://schemas.microsoft.com/office/drawing/2014/main" pred="{0246CD3E-29C6-848F-E7EA-E6B5C805C559}"/>
              </a:ext>
            </a:extLst>
          </xdr:cNvPr>
          <xdr:cNvSpPr txBox="1"/>
        </xdr:nvSpPr>
        <xdr:spPr>
          <a:xfrm>
            <a:off x="765205" y="1436142"/>
            <a:ext cx="1091565" cy="308610"/>
          </a:xfrm>
          <a:prstGeom prst="rect">
            <a:avLst/>
          </a:prstGeom>
          <a:ln>
            <a:no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l"/>
            <a:fld id="{F31363DA-F7A6-4488-B772-FAE35846A416}" type="TxLink">
              <a:rPr lang="en-US" sz="2400" b="1" i="0" u="none" strike="noStrike">
                <a:solidFill>
                  <a:schemeClr val="accent1"/>
                </a:solidFill>
                <a:latin typeface="Aptos Narrow"/>
                <a:ea typeface="+mn-lt"/>
                <a:cs typeface="+mn-lt"/>
              </a:rPr>
              <a:pPr marL="0" indent="0" algn="l"/>
              <a:t> ₹ 1,29,44,500 </a:t>
            </a:fld>
            <a:endParaRPr lang="en-US" sz="2400" b="1">
              <a:solidFill>
                <a:schemeClr val="accent1"/>
              </a:solidFill>
              <a:latin typeface="+mn-lt"/>
              <a:ea typeface="+mn-lt"/>
              <a:cs typeface="+mn-lt"/>
            </a:endParaRPr>
          </a:p>
        </xdr:txBody>
      </xdr:sp>
    </xdr:grpSp>
    <xdr:clientData/>
  </xdr:twoCellAnchor>
  <xdr:twoCellAnchor>
    <xdr:from>
      <xdr:col>13</xdr:col>
      <xdr:colOff>185057</xdr:colOff>
      <xdr:row>6</xdr:row>
      <xdr:rowOff>21770</xdr:rowOff>
    </xdr:from>
    <xdr:to>
      <xdr:col>18</xdr:col>
      <xdr:colOff>446314</xdr:colOff>
      <xdr:row>12</xdr:row>
      <xdr:rowOff>21770</xdr:rowOff>
    </xdr:to>
    <xdr:grpSp>
      <xdr:nvGrpSpPr>
        <xdr:cNvPr id="10" name="Group 9">
          <a:extLst>
            <a:ext uri="{FF2B5EF4-FFF2-40B4-BE49-F238E27FC236}">
              <a16:creationId xmlns:a16="http://schemas.microsoft.com/office/drawing/2014/main" id="{FB9F8D33-DA7A-414F-9B4D-F6FD6C9B1C30}"/>
            </a:ext>
          </a:extLst>
        </xdr:cNvPr>
        <xdr:cNvGrpSpPr/>
      </xdr:nvGrpSpPr>
      <xdr:grpSpPr>
        <a:xfrm>
          <a:off x="8109857" y="1132113"/>
          <a:ext cx="3309257" cy="1110343"/>
          <a:chOff x="47625" y="1085850"/>
          <a:chExt cx="1857375" cy="773430"/>
        </a:xfrm>
      </xdr:grpSpPr>
      <xdr:sp macro="" textlink="">
        <xdr:nvSpPr>
          <xdr:cNvPr id="11" name="Rounded Rectangle 4">
            <a:extLst>
              <a:ext uri="{FF2B5EF4-FFF2-40B4-BE49-F238E27FC236}">
                <a16:creationId xmlns:a16="http://schemas.microsoft.com/office/drawing/2014/main" id="{FD1A9CFF-D474-6C76-1D8A-7D6E80CFC47F}"/>
              </a:ext>
              <a:ext uri="{147F2762-F138-4A5C-976F-8EAC2B608ADB}">
                <a16:predDERef xmlns:a16="http://schemas.microsoft.com/office/drawing/2014/main" pred="{96F870A4-1991-0331-3E8F-81D058B98439}"/>
              </a:ext>
            </a:extLst>
          </xdr:cNvPr>
          <xdr:cNvSpPr/>
        </xdr:nvSpPr>
        <xdr:spPr>
          <a:xfrm>
            <a:off x="47625" y="1085850"/>
            <a:ext cx="185737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13" name="Rounded Rectangle 6">
            <a:extLst>
              <a:ext uri="{FF2B5EF4-FFF2-40B4-BE49-F238E27FC236}">
                <a16:creationId xmlns:a16="http://schemas.microsoft.com/office/drawing/2014/main" id="{F176218F-B4F5-0F2E-27AE-B9E0CB3ED375}"/>
              </a:ext>
              <a:ext uri="{147F2762-F138-4A5C-976F-8EAC2B608ADB}">
                <a16:predDERef xmlns:a16="http://schemas.microsoft.com/office/drawing/2014/main" pred="{3E6287B3-2B55-A952-A2EE-B5D8971B21E5}"/>
              </a:ext>
            </a:extLst>
          </xdr:cNvPr>
          <xdr:cNvSpPr/>
        </xdr:nvSpPr>
        <xdr:spPr>
          <a:xfrm>
            <a:off x="47625" y="1087755"/>
            <a:ext cx="695325"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sp macro="" textlink="">
        <xdr:nvSpPr>
          <xdr:cNvPr id="14" name="TextBox 13">
            <a:extLst>
              <a:ext uri="{FF2B5EF4-FFF2-40B4-BE49-F238E27FC236}">
                <a16:creationId xmlns:a16="http://schemas.microsoft.com/office/drawing/2014/main" id="{8CB38761-1914-BF81-7229-CF0FB11852A5}"/>
              </a:ext>
              <a:ext uri="{147F2762-F138-4A5C-976F-8EAC2B608ADB}">
                <a16:predDERef xmlns:a16="http://schemas.microsoft.com/office/drawing/2014/main" pred="{BED243D9-F04F-4F26-B689-E032111ED5D3}"/>
              </a:ext>
            </a:extLst>
          </xdr:cNvPr>
          <xdr:cNvSpPr txBox="1"/>
        </xdr:nvSpPr>
        <xdr:spPr>
          <a:xfrm>
            <a:off x="819150" y="1116330"/>
            <a:ext cx="952500" cy="30670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1300" baseline="0">
                <a:solidFill>
                  <a:schemeClr val="accent1"/>
                </a:solidFill>
                <a:latin typeface="+mn-lt"/>
                <a:ea typeface="+mn-lt"/>
                <a:cs typeface="+mn-lt"/>
              </a:rPr>
              <a:t> </a:t>
            </a:r>
            <a:r>
              <a:rPr lang="en-US" sz="2000" baseline="0">
                <a:solidFill>
                  <a:schemeClr val="accent1"/>
                </a:solidFill>
                <a:latin typeface="+mn-lt"/>
                <a:ea typeface="+mn-lt"/>
                <a:cs typeface="+mn-lt"/>
              </a:rPr>
              <a:t>Unit Sold</a:t>
            </a:r>
            <a:endParaRPr lang="en-US" sz="2000">
              <a:solidFill>
                <a:schemeClr val="accent1"/>
              </a:solidFill>
              <a:latin typeface="+mn-lt"/>
              <a:ea typeface="+mn-lt"/>
              <a:cs typeface="+mn-lt"/>
            </a:endParaRPr>
          </a:p>
          <a:p>
            <a:pPr marL="0" indent="0" algn="l"/>
            <a:endParaRPr lang="en-US" sz="1400">
              <a:solidFill>
                <a:schemeClr val="accent1">
                  <a:lumMod val="60000"/>
                  <a:lumOff val="40000"/>
                </a:schemeClr>
              </a:solidFill>
              <a:latin typeface="+mn-lt"/>
              <a:ea typeface="+mn-lt"/>
              <a:cs typeface="+mn-lt"/>
            </a:endParaRPr>
          </a:p>
        </xdr:txBody>
      </xdr:sp>
      <xdr:sp macro="" textlink="SalesData!K4">
        <xdr:nvSpPr>
          <xdr:cNvPr id="15" name="TextBox 11">
            <a:extLst>
              <a:ext uri="{FF2B5EF4-FFF2-40B4-BE49-F238E27FC236}">
                <a16:creationId xmlns:a16="http://schemas.microsoft.com/office/drawing/2014/main" id="{95B7991B-B087-CFAC-B070-0E9CC1DEDB21}"/>
              </a:ext>
              <a:ext uri="{147F2762-F138-4A5C-976F-8EAC2B608ADB}">
                <a16:predDERef xmlns:a16="http://schemas.microsoft.com/office/drawing/2014/main" pred="{0246CD3E-29C6-848F-E7EA-E6B5C805C559}"/>
              </a:ext>
            </a:extLst>
          </xdr:cNvPr>
          <xdr:cNvSpPr txBox="1"/>
        </xdr:nvSpPr>
        <xdr:spPr>
          <a:xfrm>
            <a:off x="771199" y="1373992"/>
            <a:ext cx="1091565" cy="401393"/>
          </a:xfrm>
          <a:prstGeom prst="rect">
            <a:avLst/>
          </a:prstGeom>
          <a:solidFill>
            <a:schemeClr val="bg1"/>
          </a:solidFill>
          <a:ln w="9525" cmpd="sng">
            <a:noFill/>
          </a:ln>
        </xdr:spPr>
        <xdr:txBody>
          <a:bodyPr spcFirstLastPara="0" vertOverflow="clip" horzOverflow="clip" wrap="square" lIns="91440" tIns="45720" rIns="91440" bIns="45720" rtlCol="0" anchor="t">
            <a:noAutofit/>
          </a:bodyPr>
          <a:lstStyle/>
          <a:p>
            <a:pPr marL="0" indent="0" algn="l"/>
            <a:r>
              <a:rPr lang="en-US" sz="2400" b="1" i="0" u="none" strike="noStrike">
                <a:solidFill>
                  <a:schemeClr val="accent1"/>
                </a:solidFill>
                <a:latin typeface="Aptos Narrow"/>
                <a:ea typeface="+mn-lt"/>
                <a:cs typeface="+mn-lt"/>
              </a:rPr>
              <a:t>    </a:t>
            </a:r>
            <a:fld id="{BB011822-3A22-4CCB-8A85-EB3E7D79FD6E}" type="TxLink">
              <a:rPr lang="en-US" sz="2400" b="1" i="0" u="none" strike="noStrike">
                <a:solidFill>
                  <a:schemeClr val="accent1"/>
                </a:solidFill>
                <a:latin typeface="Aptos Narrow"/>
                <a:ea typeface="+mn-lt"/>
                <a:cs typeface="+mn-lt"/>
              </a:rPr>
              <a:pPr marL="0" indent="0" algn="l"/>
              <a:t> ₹ 4,705 </a:t>
            </a:fld>
            <a:endParaRPr lang="en-US" sz="2400" b="1">
              <a:solidFill>
                <a:schemeClr val="accent1"/>
              </a:solidFill>
              <a:latin typeface="+mn-lt"/>
              <a:ea typeface="+mn-lt"/>
              <a:cs typeface="+mn-lt"/>
            </a:endParaRPr>
          </a:p>
        </xdr:txBody>
      </xdr:sp>
    </xdr:grpSp>
    <xdr:clientData/>
  </xdr:twoCellAnchor>
  <xdr:twoCellAnchor>
    <xdr:from>
      <xdr:col>19</xdr:col>
      <xdr:colOff>108857</xdr:colOff>
      <xdr:row>5</xdr:row>
      <xdr:rowOff>152400</xdr:rowOff>
    </xdr:from>
    <xdr:to>
      <xdr:col>24</xdr:col>
      <xdr:colOff>468086</xdr:colOff>
      <xdr:row>11</xdr:row>
      <xdr:rowOff>106317</xdr:rowOff>
    </xdr:to>
    <xdr:grpSp>
      <xdr:nvGrpSpPr>
        <xdr:cNvPr id="16" name="Group 15">
          <a:extLst>
            <a:ext uri="{FF2B5EF4-FFF2-40B4-BE49-F238E27FC236}">
              <a16:creationId xmlns:a16="http://schemas.microsoft.com/office/drawing/2014/main" id="{4EFC8CDC-4AB5-481A-93C1-BB4FDD890CA6}"/>
            </a:ext>
          </a:extLst>
        </xdr:cNvPr>
        <xdr:cNvGrpSpPr/>
      </xdr:nvGrpSpPr>
      <xdr:grpSpPr>
        <a:xfrm>
          <a:off x="11691257" y="1077686"/>
          <a:ext cx="3407229" cy="1064260"/>
          <a:chOff x="40005" y="1072515"/>
          <a:chExt cx="1864995" cy="784860"/>
        </a:xfrm>
      </xdr:grpSpPr>
      <xdr:sp macro="" textlink="">
        <xdr:nvSpPr>
          <xdr:cNvPr id="17" name="Rounded Rectangle 4">
            <a:extLst>
              <a:ext uri="{FF2B5EF4-FFF2-40B4-BE49-F238E27FC236}">
                <a16:creationId xmlns:a16="http://schemas.microsoft.com/office/drawing/2014/main" id="{5E2E9E7D-A4AF-D15A-4D0A-8F536F48FD8A}"/>
              </a:ext>
              <a:ext uri="{147F2762-F138-4A5C-976F-8EAC2B608ADB}">
                <a16:predDERef xmlns:a16="http://schemas.microsoft.com/office/drawing/2014/main" pred="{96F870A4-1991-0331-3E8F-81D058B98439}"/>
              </a:ext>
            </a:extLst>
          </xdr:cNvPr>
          <xdr:cNvSpPr/>
        </xdr:nvSpPr>
        <xdr:spPr>
          <a:xfrm>
            <a:off x="47625" y="1085850"/>
            <a:ext cx="185737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18" name="Rounded Rectangle 6">
            <a:extLst>
              <a:ext uri="{FF2B5EF4-FFF2-40B4-BE49-F238E27FC236}">
                <a16:creationId xmlns:a16="http://schemas.microsoft.com/office/drawing/2014/main" id="{6607D6DD-A8BF-8589-F00B-2E9572DECE76}"/>
              </a:ext>
              <a:ext uri="{147F2762-F138-4A5C-976F-8EAC2B608ADB}">
                <a16:predDERef xmlns:a16="http://schemas.microsoft.com/office/drawing/2014/main" pred="{3E6287B3-2B55-A952-A2EE-B5D8971B21E5}"/>
              </a:ext>
            </a:extLst>
          </xdr:cNvPr>
          <xdr:cNvSpPr/>
        </xdr:nvSpPr>
        <xdr:spPr>
          <a:xfrm>
            <a:off x="40005" y="1072515"/>
            <a:ext cx="695325"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sp macro="" textlink="">
        <xdr:nvSpPr>
          <xdr:cNvPr id="19" name="TextBox 18">
            <a:extLst>
              <a:ext uri="{FF2B5EF4-FFF2-40B4-BE49-F238E27FC236}">
                <a16:creationId xmlns:a16="http://schemas.microsoft.com/office/drawing/2014/main" id="{D31B6A53-7E9C-27C9-8AF0-0A70C59F07A1}"/>
              </a:ext>
              <a:ext uri="{147F2762-F138-4A5C-976F-8EAC2B608ADB}">
                <a16:predDERef xmlns:a16="http://schemas.microsoft.com/office/drawing/2014/main" pred="{BED243D9-F04F-4F26-B689-E032111ED5D3}"/>
              </a:ext>
            </a:extLst>
          </xdr:cNvPr>
          <xdr:cNvSpPr txBox="1"/>
        </xdr:nvSpPr>
        <xdr:spPr>
          <a:xfrm>
            <a:off x="819150" y="1116330"/>
            <a:ext cx="952500" cy="30670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2000">
                <a:solidFill>
                  <a:schemeClr val="accent1"/>
                </a:solidFill>
                <a:latin typeface="+mn-lt"/>
                <a:ea typeface="+mn-lt"/>
                <a:cs typeface="+mn-lt"/>
              </a:rPr>
              <a:t>Profit</a:t>
            </a:r>
          </a:p>
          <a:p>
            <a:pPr marL="0" indent="0" algn="l"/>
            <a:endParaRPr lang="en-US" sz="1400">
              <a:solidFill>
                <a:schemeClr val="accent1">
                  <a:lumMod val="60000"/>
                  <a:lumOff val="40000"/>
                </a:schemeClr>
              </a:solidFill>
              <a:latin typeface="+mn-lt"/>
              <a:ea typeface="+mn-lt"/>
              <a:cs typeface="+mn-lt"/>
            </a:endParaRPr>
          </a:p>
        </xdr:txBody>
      </xdr:sp>
      <xdr:sp macro="" textlink="SalesData!K6">
        <xdr:nvSpPr>
          <xdr:cNvPr id="20" name="TextBox 11">
            <a:extLst>
              <a:ext uri="{FF2B5EF4-FFF2-40B4-BE49-F238E27FC236}">
                <a16:creationId xmlns:a16="http://schemas.microsoft.com/office/drawing/2014/main" id="{36A64FEF-551B-DDFB-9625-7EAD28AC4031}"/>
              </a:ext>
              <a:ext uri="{147F2762-F138-4A5C-976F-8EAC2B608ADB}">
                <a16:predDERef xmlns:a16="http://schemas.microsoft.com/office/drawing/2014/main" pred="{0246CD3E-29C6-848F-E7EA-E6B5C805C559}"/>
              </a:ext>
            </a:extLst>
          </xdr:cNvPr>
          <xdr:cNvSpPr txBox="1"/>
        </xdr:nvSpPr>
        <xdr:spPr>
          <a:xfrm>
            <a:off x="806344" y="1435554"/>
            <a:ext cx="1091565" cy="30861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fld id="{566DA6C2-9D7E-4D4F-A760-4F4D5C07E74F}" type="TxLink">
              <a:rPr lang="en-US" sz="2400" b="1" i="0" u="none" strike="noStrike">
                <a:solidFill>
                  <a:schemeClr val="accent1"/>
                </a:solidFill>
                <a:latin typeface="Aptos Narrow"/>
                <a:ea typeface="+mn-lt"/>
                <a:cs typeface="+mn-lt"/>
              </a:rPr>
              <a:pPr marL="0" indent="0" algn="l"/>
              <a:t> ₹ 38,34,400 </a:t>
            </a:fld>
            <a:endParaRPr lang="en-US" sz="2400" b="1">
              <a:solidFill>
                <a:schemeClr val="accent1"/>
              </a:solidFill>
              <a:latin typeface="+mn-lt"/>
              <a:ea typeface="+mn-lt"/>
              <a:cs typeface="+mn-lt"/>
            </a:endParaRPr>
          </a:p>
        </xdr:txBody>
      </xdr:sp>
    </xdr:grpSp>
    <xdr:clientData/>
  </xdr:twoCellAnchor>
  <xdr:twoCellAnchor>
    <xdr:from>
      <xdr:col>6</xdr:col>
      <xdr:colOff>359229</xdr:colOff>
      <xdr:row>6</xdr:row>
      <xdr:rowOff>10886</xdr:rowOff>
    </xdr:from>
    <xdr:to>
      <xdr:col>12</xdr:col>
      <xdr:colOff>228600</xdr:colOff>
      <xdr:row>12</xdr:row>
      <xdr:rowOff>23404</xdr:rowOff>
    </xdr:to>
    <xdr:grpSp>
      <xdr:nvGrpSpPr>
        <xdr:cNvPr id="21" name="Group 20">
          <a:extLst>
            <a:ext uri="{FF2B5EF4-FFF2-40B4-BE49-F238E27FC236}">
              <a16:creationId xmlns:a16="http://schemas.microsoft.com/office/drawing/2014/main" id="{D7EB244E-7EBD-48CF-8A04-B20C3F3B71AF}"/>
            </a:ext>
          </a:extLst>
        </xdr:cNvPr>
        <xdr:cNvGrpSpPr/>
      </xdr:nvGrpSpPr>
      <xdr:grpSpPr>
        <a:xfrm>
          <a:off x="4016829" y="1121229"/>
          <a:ext cx="3526971" cy="1122861"/>
          <a:chOff x="47625" y="1085850"/>
          <a:chExt cx="1857375" cy="773430"/>
        </a:xfrm>
      </xdr:grpSpPr>
      <xdr:sp macro="" textlink="">
        <xdr:nvSpPr>
          <xdr:cNvPr id="22" name="Rounded Rectangle 4">
            <a:extLst>
              <a:ext uri="{FF2B5EF4-FFF2-40B4-BE49-F238E27FC236}">
                <a16:creationId xmlns:a16="http://schemas.microsoft.com/office/drawing/2014/main" id="{0CD76E44-9C8A-23AE-8998-87C6EF221870}"/>
              </a:ext>
              <a:ext uri="{147F2762-F138-4A5C-976F-8EAC2B608ADB}">
                <a16:predDERef xmlns:a16="http://schemas.microsoft.com/office/drawing/2014/main" pred="{96F870A4-1991-0331-3E8F-81D058B98439}"/>
              </a:ext>
            </a:extLst>
          </xdr:cNvPr>
          <xdr:cNvSpPr/>
        </xdr:nvSpPr>
        <xdr:spPr>
          <a:xfrm>
            <a:off x="47625" y="1085850"/>
            <a:ext cx="1857375" cy="7715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100">
              <a:solidFill>
                <a:schemeClr val="lt1"/>
              </a:solidFill>
              <a:latin typeface="+mn-lt"/>
              <a:ea typeface="+mn-lt"/>
              <a:cs typeface="+mn-lt"/>
            </a:endParaRPr>
          </a:p>
        </xdr:txBody>
      </xdr:sp>
      <xdr:sp macro="" textlink="">
        <xdr:nvSpPr>
          <xdr:cNvPr id="23" name="Rounded Rectangle 6">
            <a:extLst>
              <a:ext uri="{FF2B5EF4-FFF2-40B4-BE49-F238E27FC236}">
                <a16:creationId xmlns:a16="http://schemas.microsoft.com/office/drawing/2014/main" id="{2FAF1C1B-2ED3-AB55-0A5A-39AE389B238A}"/>
              </a:ext>
              <a:ext uri="{147F2762-F138-4A5C-976F-8EAC2B608ADB}">
                <a16:predDERef xmlns:a16="http://schemas.microsoft.com/office/drawing/2014/main" pred="{3E6287B3-2B55-A952-A2EE-B5D8971B21E5}"/>
              </a:ext>
            </a:extLst>
          </xdr:cNvPr>
          <xdr:cNvSpPr/>
        </xdr:nvSpPr>
        <xdr:spPr>
          <a:xfrm>
            <a:off x="47625" y="1087755"/>
            <a:ext cx="695325" cy="77152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endParaRPr lang="en-US" sz="1100">
              <a:solidFill>
                <a:schemeClr val="lt1"/>
              </a:solidFill>
              <a:latin typeface="+mn-lt"/>
              <a:ea typeface="+mn-lt"/>
              <a:cs typeface="+mn-lt"/>
            </a:endParaRPr>
          </a:p>
        </xdr:txBody>
      </xdr:sp>
      <xdr:sp macro="" textlink="">
        <xdr:nvSpPr>
          <xdr:cNvPr id="24" name="TextBox 23">
            <a:extLst>
              <a:ext uri="{FF2B5EF4-FFF2-40B4-BE49-F238E27FC236}">
                <a16:creationId xmlns:a16="http://schemas.microsoft.com/office/drawing/2014/main" id="{6EEB6E47-DA34-F644-C9AB-34C71CF9C871}"/>
              </a:ext>
              <a:ext uri="{147F2762-F138-4A5C-976F-8EAC2B608ADB}">
                <a16:predDERef xmlns:a16="http://schemas.microsoft.com/office/drawing/2014/main" pred="{BED243D9-F04F-4F26-B689-E032111ED5D3}"/>
              </a:ext>
            </a:extLst>
          </xdr:cNvPr>
          <xdr:cNvSpPr txBox="1"/>
        </xdr:nvSpPr>
        <xdr:spPr>
          <a:xfrm>
            <a:off x="756285" y="1116330"/>
            <a:ext cx="1104900" cy="306705"/>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2000" baseline="0">
                <a:solidFill>
                  <a:schemeClr val="accent1"/>
                </a:solidFill>
                <a:latin typeface="+mn-lt"/>
                <a:ea typeface="+mn-lt"/>
                <a:cs typeface="+mn-lt"/>
              </a:rPr>
              <a:t>Average Sales</a:t>
            </a:r>
            <a:endParaRPr lang="en-US" sz="2000">
              <a:solidFill>
                <a:schemeClr val="accent1"/>
              </a:solidFill>
              <a:latin typeface="+mn-lt"/>
              <a:ea typeface="+mn-lt"/>
              <a:cs typeface="+mn-lt"/>
            </a:endParaRPr>
          </a:p>
          <a:p>
            <a:pPr marL="0" indent="0" algn="l"/>
            <a:endParaRPr lang="en-US" sz="1400">
              <a:solidFill>
                <a:schemeClr val="accent1">
                  <a:lumMod val="60000"/>
                  <a:lumOff val="40000"/>
                </a:schemeClr>
              </a:solidFill>
              <a:latin typeface="+mn-lt"/>
              <a:ea typeface="+mn-lt"/>
              <a:cs typeface="+mn-lt"/>
            </a:endParaRPr>
          </a:p>
        </xdr:txBody>
      </xdr:sp>
      <xdr:sp macro="" textlink="SalesData!K8">
        <xdr:nvSpPr>
          <xdr:cNvPr id="25" name="TextBox 11">
            <a:extLst>
              <a:ext uri="{FF2B5EF4-FFF2-40B4-BE49-F238E27FC236}">
                <a16:creationId xmlns:a16="http://schemas.microsoft.com/office/drawing/2014/main" id="{8A9E6D24-2C1F-34C0-10D5-C805E8A4E5E0}"/>
              </a:ext>
              <a:ext uri="{147F2762-F138-4A5C-976F-8EAC2B608ADB}">
                <a16:predDERef xmlns:a16="http://schemas.microsoft.com/office/drawing/2014/main" pred="{0246CD3E-29C6-848F-E7EA-E6B5C805C559}"/>
              </a:ext>
            </a:extLst>
          </xdr:cNvPr>
          <xdr:cNvSpPr txBox="1"/>
        </xdr:nvSpPr>
        <xdr:spPr>
          <a:xfrm>
            <a:off x="769691" y="1451610"/>
            <a:ext cx="1091565" cy="30861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fld id="{4A003A1C-F25F-4F91-8D3F-34E2DFADEF80}" type="TxLink">
              <a:rPr lang="en-US" sz="2400" b="1" i="0" u="none" strike="noStrike">
                <a:solidFill>
                  <a:schemeClr val="accent1"/>
                </a:solidFill>
                <a:latin typeface="Aptos Narrow"/>
                <a:ea typeface="+mn-lt"/>
                <a:cs typeface="+mn-lt"/>
              </a:rPr>
              <a:pPr marL="0" indent="0" algn="l"/>
              <a:t> ₹ 2,58,890 </a:t>
            </a:fld>
            <a:endParaRPr lang="en-US" sz="2400" b="1">
              <a:solidFill>
                <a:schemeClr val="accent1"/>
              </a:solidFill>
              <a:latin typeface="+mn-lt"/>
              <a:ea typeface="+mn-lt"/>
              <a:cs typeface="+mn-lt"/>
            </a:endParaRPr>
          </a:p>
        </xdr:txBody>
      </xdr:sp>
    </xdr:grpSp>
    <xdr:clientData/>
  </xdr:twoCellAnchor>
  <xdr:twoCellAnchor editAs="oneCell">
    <xdr:from>
      <xdr:col>19</xdr:col>
      <xdr:colOff>410935</xdr:colOff>
      <xdr:row>6</xdr:row>
      <xdr:rowOff>114300</xdr:rowOff>
    </xdr:from>
    <xdr:to>
      <xdr:col>20</xdr:col>
      <xdr:colOff>587829</xdr:colOff>
      <xdr:row>9</xdr:row>
      <xdr:rowOff>161925</xdr:rowOff>
    </xdr:to>
    <xdr:pic>
      <xdr:nvPicPr>
        <xdr:cNvPr id="75" name="Picture 26">
          <a:extLst>
            <a:ext uri="{FF2B5EF4-FFF2-40B4-BE49-F238E27FC236}">
              <a16:creationId xmlns:a16="http://schemas.microsoft.com/office/drawing/2014/main" id="{CF8B079D-58CE-A534-CC89-42DB6BE9182A}"/>
            </a:ext>
            <a:ext uri="{147F2762-F138-4A5C-976F-8EAC2B608ADB}">
              <a16:predDERef xmlns:a16="http://schemas.microsoft.com/office/drawing/2014/main" pred="{0DCBA785-0140-3A82-230B-A6B885F5C3EF}"/>
            </a:ext>
          </a:extLst>
        </xdr:cNvPr>
        <xdr:cNvPicPr>
          <a:picLocks noChangeAspect="1"/>
        </xdr:cNvPicPr>
      </xdr:nvPicPr>
      <xdr:blipFill>
        <a:blip xmlns:r="http://schemas.openxmlformats.org/officeDocument/2006/relationships" r:embed="rId1">
          <a:lum bright="70000" contrast="-70000"/>
          <a:extLst>
            <a:ext uri="{837473B0-CC2E-450A-ABE3-18F120FF3D39}">
              <a1611:picAttrSrcUrl xmlns:a1611="http://schemas.microsoft.com/office/drawing/2016/11/main" r:id="rId2"/>
            </a:ext>
          </a:extLst>
        </a:blip>
        <a:stretch>
          <a:fillRect/>
        </a:stretch>
      </xdr:blipFill>
      <xdr:spPr>
        <a:xfrm>
          <a:off x="11993335" y="1224643"/>
          <a:ext cx="786494" cy="602796"/>
        </a:xfrm>
        <a:prstGeom prst="rect">
          <a:avLst/>
        </a:prstGeom>
      </xdr:spPr>
    </xdr:pic>
    <xdr:clientData/>
  </xdr:twoCellAnchor>
  <xdr:twoCellAnchor editAs="oneCell">
    <xdr:from>
      <xdr:col>6</xdr:col>
      <xdr:colOff>457201</xdr:colOff>
      <xdr:row>6</xdr:row>
      <xdr:rowOff>130629</xdr:rowOff>
    </xdr:from>
    <xdr:to>
      <xdr:col>8</xdr:col>
      <xdr:colOff>370115</xdr:colOff>
      <xdr:row>11</xdr:row>
      <xdr:rowOff>54428</xdr:rowOff>
    </xdr:to>
    <xdr:pic>
      <xdr:nvPicPr>
        <xdr:cNvPr id="132" name="Picture 32">
          <a:extLst>
            <a:ext uri="{FF2B5EF4-FFF2-40B4-BE49-F238E27FC236}">
              <a16:creationId xmlns:a16="http://schemas.microsoft.com/office/drawing/2014/main" id="{7195FAF4-51BD-B6FD-5B33-CFC3F700A842}"/>
            </a:ext>
            <a:ext uri="{147F2762-F138-4A5C-976F-8EAC2B608ADB}">
              <a16:predDERef xmlns:a16="http://schemas.microsoft.com/office/drawing/2014/main" pred="{0B8F81ED-4718-F1ED-6E9A-45B39675C814}"/>
            </a:ext>
          </a:extLst>
        </xdr:cNvPr>
        <xdr:cNvPicPr>
          <a:picLocks noChangeAspect="1"/>
        </xdr:cNvPicPr>
      </xdr:nvPicPr>
      <xdr:blipFill>
        <a:blip xmlns:r="http://schemas.openxmlformats.org/officeDocument/2006/relationships" r:embed="rId3">
          <a:lum bright="70000" contrast="-70000"/>
          <a:extLst>
            <a:ext uri="{837473B0-CC2E-450A-ABE3-18F120FF3D39}">
              <a1611:picAttrSrcUrl xmlns:a1611="http://schemas.microsoft.com/office/drawing/2016/11/main" r:id="rId4"/>
            </a:ext>
          </a:extLst>
        </a:blip>
        <a:stretch>
          <a:fillRect/>
        </a:stretch>
      </xdr:blipFill>
      <xdr:spPr>
        <a:xfrm>
          <a:off x="4114801" y="1240972"/>
          <a:ext cx="1132114" cy="849085"/>
        </a:xfrm>
        <a:prstGeom prst="rect">
          <a:avLst/>
        </a:prstGeom>
      </xdr:spPr>
    </xdr:pic>
    <xdr:clientData/>
  </xdr:twoCellAnchor>
  <xdr:twoCellAnchor editAs="oneCell">
    <xdr:from>
      <xdr:col>0</xdr:col>
      <xdr:colOff>388620</xdr:colOff>
      <xdr:row>23</xdr:row>
      <xdr:rowOff>106317</xdr:rowOff>
    </xdr:from>
    <xdr:to>
      <xdr:col>3</xdr:col>
      <xdr:colOff>360045</xdr:colOff>
      <xdr:row>38</xdr:row>
      <xdr:rowOff>35197</xdr:rowOff>
    </xdr:to>
    <mc:AlternateContent xmlns:mc="http://schemas.openxmlformats.org/markup-compatibility/2006">
      <mc:Choice xmlns:a14="http://schemas.microsoft.com/office/drawing/2010/main" Requires="a14">
        <xdr:graphicFrame macro="">
          <xdr:nvGraphicFramePr>
            <xdr:cNvPr id="2" name="Sales Person">
              <a:extLst>
                <a:ext uri="{FF2B5EF4-FFF2-40B4-BE49-F238E27FC236}">
                  <a16:creationId xmlns:a16="http://schemas.microsoft.com/office/drawing/2014/main" id="{382DE7EC-FF90-4A92-A2EC-F5E27373DF0B}"/>
                </a:ext>
                <a:ext uri="{147F2762-F138-4A5C-976F-8EAC2B608ADB}">
                  <a16:predDERef xmlns:a16="http://schemas.microsoft.com/office/drawing/2014/main" pred="{4E75F737-D0E2-08C2-5E70-9D73CEEA4414}"/>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388620" y="4362631"/>
              <a:ext cx="1800225" cy="2704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349431</xdr:colOff>
      <xdr:row>40</xdr:row>
      <xdr:rowOff>174171</xdr:rowOff>
    </xdr:from>
    <xdr:to>
      <xdr:col>3</xdr:col>
      <xdr:colOff>381816</xdr:colOff>
      <xdr:row>52</xdr:row>
      <xdr:rowOff>145597</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0ED47BE9-5B21-4DFB-9B3F-55AD130CFAA6}"/>
                </a:ext>
                <a:ext uri="{147F2762-F138-4A5C-976F-8EAC2B608ADB}">
                  <a16:predDERef xmlns:a16="http://schemas.microsoft.com/office/drawing/2014/main" pred="{45C65AD0-C43D-9F0A-8DA1-88840242B44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49431" y="7576457"/>
              <a:ext cx="1861185" cy="2192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318316</xdr:colOff>
      <xdr:row>13</xdr:row>
      <xdr:rowOff>176077</xdr:rowOff>
    </xdr:from>
    <xdr:to>
      <xdr:col>3</xdr:col>
      <xdr:colOff>350701</xdr:colOff>
      <xdr:row>22</xdr:row>
      <xdr:rowOff>10886</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E6CB6288-118E-43A3-A128-C121DFDD2104}"/>
                </a:ext>
                <a:ext uri="{147F2762-F138-4A5C-976F-8EAC2B608ADB}">
                  <a16:predDERef xmlns:a16="http://schemas.microsoft.com/office/drawing/2014/main" pred="{56A9894E-9A0C-FF72-C879-A92AFBC58E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8316" y="2581820"/>
              <a:ext cx="1861185" cy="15003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217713</xdr:colOff>
      <xdr:row>13</xdr:row>
      <xdr:rowOff>174171</xdr:rowOff>
    </xdr:from>
    <xdr:to>
      <xdr:col>13</xdr:col>
      <xdr:colOff>435428</xdr:colOff>
      <xdr:row>31</xdr:row>
      <xdr:rowOff>32658</xdr:rowOff>
    </xdr:to>
    <xdr:graphicFrame macro="">
      <xdr:nvGraphicFramePr>
        <xdr:cNvPr id="26" name="Chart 25">
          <a:extLst>
            <a:ext uri="{FF2B5EF4-FFF2-40B4-BE49-F238E27FC236}">
              <a16:creationId xmlns:a16="http://schemas.microsoft.com/office/drawing/2014/main" id="{0AD3AB55-4C26-47C2-AB5B-F6AE05E7731A}"/>
            </a:ext>
            <a:ext uri="{147F2762-F138-4A5C-976F-8EAC2B608ADB}">
              <a16:predDERef xmlns:a16="http://schemas.microsoft.com/office/drawing/2014/main" pred="{9E25CCF8-7150-F72A-4B27-C8FF90476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462642</xdr:colOff>
      <xdr:row>13</xdr:row>
      <xdr:rowOff>174171</xdr:rowOff>
    </xdr:from>
    <xdr:to>
      <xdr:col>24</xdr:col>
      <xdr:colOff>533399</xdr:colOff>
      <xdr:row>30</xdr:row>
      <xdr:rowOff>116114</xdr:rowOff>
    </xdr:to>
    <xdr:graphicFrame macro="">
      <xdr:nvGraphicFramePr>
        <xdr:cNvPr id="27" name="Chart 26">
          <a:extLst>
            <a:ext uri="{FF2B5EF4-FFF2-40B4-BE49-F238E27FC236}">
              <a16:creationId xmlns:a16="http://schemas.microsoft.com/office/drawing/2014/main" id="{C0D1C1CD-A7EE-461C-8EE2-32DBC7F99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254695</xdr:colOff>
      <xdr:row>32</xdr:row>
      <xdr:rowOff>54427</xdr:rowOff>
    </xdr:from>
    <xdr:to>
      <xdr:col>13</xdr:col>
      <xdr:colOff>424543</xdr:colOff>
      <xdr:row>53</xdr:row>
      <xdr:rowOff>21770</xdr:rowOff>
    </xdr:to>
    <xdr:graphicFrame macro="">
      <xdr:nvGraphicFramePr>
        <xdr:cNvPr id="28" name="Chart 27">
          <a:extLst>
            <a:ext uri="{FF2B5EF4-FFF2-40B4-BE49-F238E27FC236}">
              <a16:creationId xmlns:a16="http://schemas.microsoft.com/office/drawing/2014/main" id="{96444812-9602-4465-B854-7EF0DD46671A}"/>
            </a:ext>
            <a:ext uri="{147F2762-F138-4A5C-976F-8EAC2B608ADB}">
              <a16:predDERef xmlns:a16="http://schemas.microsoft.com/office/drawing/2014/main" pred="{AAF9E272-24C3-C8E3-1160-88580526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489855</xdr:colOff>
      <xdr:row>32</xdr:row>
      <xdr:rowOff>54428</xdr:rowOff>
    </xdr:from>
    <xdr:to>
      <xdr:col>25</xdr:col>
      <xdr:colOff>10884</xdr:colOff>
      <xdr:row>53</xdr:row>
      <xdr:rowOff>21771</xdr:rowOff>
    </xdr:to>
    <xdr:graphicFrame macro="">
      <xdr:nvGraphicFramePr>
        <xdr:cNvPr id="29" name="Chart 28">
          <a:extLst>
            <a:ext uri="{FF2B5EF4-FFF2-40B4-BE49-F238E27FC236}">
              <a16:creationId xmlns:a16="http://schemas.microsoft.com/office/drawing/2014/main" id="{B640FD97-6B62-42F6-BA50-DFAD921E5287}"/>
            </a:ext>
            <a:ext uri="{147F2762-F138-4A5C-976F-8EAC2B608ADB}">
              <a16:predDERef xmlns:a16="http://schemas.microsoft.com/office/drawing/2014/main" pred="{379ECE90-228B-62DF-2380-9468D2848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355600</xdr:colOff>
      <xdr:row>0</xdr:row>
      <xdr:rowOff>165100</xdr:rowOff>
    </xdr:from>
    <xdr:to>
      <xdr:col>17</xdr:col>
      <xdr:colOff>469900</xdr:colOff>
      <xdr:row>3</xdr:row>
      <xdr:rowOff>139700</xdr:rowOff>
    </xdr:to>
    <xdr:sp macro="" textlink="">
      <xdr:nvSpPr>
        <xdr:cNvPr id="30" name="TextBox 29">
          <a:extLst>
            <a:ext uri="{FF2B5EF4-FFF2-40B4-BE49-F238E27FC236}">
              <a16:creationId xmlns:a16="http://schemas.microsoft.com/office/drawing/2014/main" id="{06464623-EC18-319F-C537-C11DE437C77F}"/>
            </a:ext>
          </a:extLst>
        </xdr:cNvPr>
        <xdr:cNvSpPr txBox="1"/>
      </xdr:nvSpPr>
      <xdr:spPr>
        <a:xfrm>
          <a:off x="2184400" y="165100"/>
          <a:ext cx="86487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t>                 </a:t>
          </a:r>
          <a:r>
            <a:rPr lang="en-IN" sz="4000">
              <a:solidFill>
                <a:schemeClr val="accent1"/>
              </a:solidFill>
            </a:rPr>
            <a:t>SALES</a:t>
          </a:r>
          <a:r>
            <a:rPr lang="en-IN" sz="4000" baseline="0">
              <a:solidFill>
                <a:schemeClr val="accent1"/>
              </a:solidFill>
            </a:rPr>
            <a:t> DASHBOARD-2026</a:t>
          </a:r>
          <a:endParaRPr lang="en-IN" sz="4000">
            <a:solidFill>
              <a:schemeClr val="accent1"/>
            </a:solidFill>
          </a:endParaRPr>
        </a:p>
      </xdr:txBody>
    </xdr:sp>
    <xdr:clientData/>
  </xdr:twoCellAnchor>
  <xdr:twoCellAnchor editAs="oneCell">
    <xdr:from>
      <xdr:col>13</xdr:col>
      <xdr:colOff>312709</xdr:colOff>
      <xdr:row>7</xdr:row>
      <xdr:rowOff>9560</xdr:rowOff>
    </xdr:from>
    <xdr:to>
      <xdr:col>15</xdr:col>
      <xdr:colOff>243804</xdr:colOff>
      <xdr:row>10</xdr:row>
      <xdr:rowOff>142886</xdr:rowOff>
    </xdr:to>
    <xdr:pic>
      <xdr:nvPicPr>
        <xdr:cNvPr id="142" name="Picture 34">
          <a:extLst>
            <a:ext uri="{FF2B5EF4-FFF2-40B4-BE49-F238E27FC236}">
              <a16:creationId xmlns:a16="http://schemas.microsoft.com/office/drawing/2014/main" id="{26859EEA-7CDF-209C-82D5-40F5CEB58127}"/>
            </a:ext>
            <a:ext uri="{147F2762-F138-4A5C-976F-8EAC2B608ADB}">
              <a16:predDERef xmlns:a16="http://schemas.microsoft.com/office/drawing/2014/main" pred="{4EE7CAE6-7856-76D0-96AD-E85EB7B0C5FE}"/>
            </a:ext>
          </a:extLst>
        </xdr:cNvPr>
        <xdr:cNvPicPr>
          <a:picLocks noChangeAspect="1"/>
        </xdr:cNvPicPr>
      </xdr:nvPicPr>
      <xdr:blipFill>
        <a:blip xmlns:r="http://schemas.openxmlformats.org/officeDocument/2006/relationships" r:embed="rId9">
          <a:lum bright="70000" contrast="-70000"/>
        </a:blip>
        <a:stretch>
          <a:fillRect/>
        </a:stretch>
      </xdr:blipFill>
      <xdr:spPr>
        <a:xfrm rot="68291">
          <a:off x="8237509" y="1304960"/>
          <a:ext cx="1150295" cy="688497"/>
        </a:xfrm>
        <a:prstGeom prst="rect">
          <a:avLst/>
        </a:prstGeom>
      </xdr:spPr>
    </xdr:pic>
    <xdr:clientData/>
  </xdr:twoCellAnchor>
  <xdr:twoCellAnchor editAs="oneCell">
    <xdr:from>
      <xdr:col>0</xdr:col>
      <xdr:colOff>457200</xdr:colOff>
      <xdr:row>6</xdr:row>
      <xdr:rowOff>152401</xdr:rowOff>
    </xdr:from>
    <xdr:to>
      <xdr:col>2</xdr:col>
      <xdr:colOff>217714</xdr:colOff>
      <xdr:row>10</xdr:row>
      <xdr:rowOff>180975</xdr:rowOff>
    </xdr:to>
    <xdr:pic>
      <xdr:nvPicPr>
        <xdr:cNvPr id="36" name="Picture 30">
          <a:extLst>
            <a:ext uri="{FF2B5EF4-FFF2-40B4-BE49-F238E27FC236}">
              <a16:creationId xmlns:a16="http://schemas.microsoft.com/office/drawing/2014/main" id="{9AA39AF6-1ED4-22F3-84BA-A8CB231C602F}"/>
            </a:ext>
            <a:ext uri="{147F2762-F138-4A5C-976F-8EAC2B608ADB}">
              <a16:predDERef xmlns:a16="http://schemas.microsoft.com/office/drawing/2014/main" pred="{EF01F328-9E65-5A6A-4CD3-3CDD85B51128}"/>
            </a:ext>
          </a:extLst>
        </xdr:cNvPr>
        <xdr:cNvPicPr>
          <a:picLocks noChangeAspect="1"/>
        </xdr:cNvPicPr>
      </xdr:nvPicPr>
      <xdr:blipFill>
        <a:blip xmlns:r="http://schemas.openxmlformats.org/officeDocument/2006/relationships" r:embed="rId10">
          <a:lum bright="70000" contrast="-70000"/>
          <a:extLst>
            <a:ext uri="{837473B0-CC2E-450A-ABE3-18F120FF3D39}">
              <a1611:picAttrSrcUrl xmlns:a1611="http://schemas.microsoft.com/office/drawing/2016/11/main" r:id="rId11"/>
            </a:ext>
          </a:extLst>
        </a:blip>
        <a:stretch>
          <a:fillRect/>
        </a:stretch>
      </xdr:blipFill>
      <xdr:spPr>
        <a:xfrm>
          <a:off x="457200" y="1262744"/>
          <a:ext cx="979714" cy="76880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9.759404629629" createdVersion="8" refreshedVersion="8" minRefreshableVersion="3" recordCount="50" xr:uid="{9E098A6D-2666-4E86-9383-834F9972E5A0}">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817419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FCA2D1-EBA2-4CC9-BF36-838691A34894}"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E2:F13" firstHeaderRow="1" firstDataRow="1" firstDataCol="1"/>
  <pivotFields count="9">
    <pivotField compact="0" numFmtId="14" outline="0" showAll="0"/>
    <pivotField axis="axisRow" compact="0" outline="0" showAll="0">
      <items count="11">
        <item x="0"/>
        <item x="8"/>
        <item x="3"/>
        <item x="5"/>
        <item x="7"/>
        <item x="2"/>
        <item x="1"/>
        <item x="4"/>
        <item x="9"/>
        <item x="6"/>
        <item t="default"/>
      </items>
    </pivotField>
    <pivotField compact="0" outline="0" showAll="0">
      <items count="5">
        <item x="1"/>
        <item x="3"/>
        <item x="2"/>
        <item x="0"/>
        <item t="default"/>
      </items>
    </pivotField>
    <pivotField compact="0" outline="0" showAll="0">
      <items count="8">
        <item x="2"/>
        <item x="1"/>
        <item x="5"/>
        <item x="3"/>
        <item x="6"/>
        <item x="4"/>
        <item x="0"/>
        <item t="default"/>
      </items>
    </pivotField>
    <pivotField compact="0" outline="0" showAll="0"/>
    <pivotField compact="0" numFmtId="164" outline="0" showAll="0"/>
    <pivotField compact="0" numFmtId="164" outline="0" showAll="0"/>
    <pivotField dataField="1" compact="0" numFmtId="164" outline="0" showAll="0"/>
    <pivotField compact="0" numFmtId="164" outline="0"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7"/>
  </dataFields>
  <formats count="2">
    <format dxfId="570">
      <pivotArea outline="0" collapsedLevelsAreSubtotals="1" fieldPosition="0"/>
    </format>
    <format dxfId="56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977739-80E0-404B-A491-DB643B0A232A}"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2:B7" firstHeaderRow="1" firstDataRow="1" firstDataCol="1"/>
  <pivotFields count="9">
    <pivotField compact="0" numFmtId="14" outline="0" showAll="0"/>
    <pivotField compact="0" outline="0" showAll="0">
      <items count="11">
        <item x="0"/>
        <item x="8"/>
        <item x="3"/>
        <item x="5"/>
        <item x="7"/>
        <item x="2"/>
        <item x="1"/>
        <item x="4"/>
        <item x="9"/>
        <item x="6"/>
        <item t="default"/>
      </items>
    </pivotField>
    <pivotField axis="axisRow" compact="0" outline="0" showAll="0">
      <items count="5">
        <item x="1"/>
        <item x="3"/>
        <item x="2"/>
        <item x="0"/>
        <item t="default"/>
      </items>
    </pivotField>
    <pivotField compact="0" outline="0" showAll="0">
      <items count="8">
        <item x="2"/>
        <item x="1"/>
        <item x="5"/>
        <item x="3"/>
        <item x="6"/>
        <item x="4"/>
        <item x="0"/>
        <item t="default"/>
      </items>
    </pivotField>
    <pivotField compact="0" outline="0" showAll="0"/>
    <pivotField compact="0" numFmtId="164" outline="0" showAll="0"/>
    <pivotField compact="0" numFmtId="164" outline="0" showAll="0"/>
    <pivotField dataField="1" compact="0" numFmtId="164" outline="0" showAll="0"/>
    <pivotField compact="0" numFmtId="164" outline="0" showAll="0"/>
  </pivotFields>
  <rowFields count="1">
    <field x="2"/>
  </rowFields>
  <rowItems count="5">
    <i>
      <x/>
    </i>
    <i>
      <x v="1"/>
    </i>
    <i>
      <x v="2"/>
    </i>
    <i>
      <x v="3"/>
    </i>
    <i t="grand">
      <x/>
    </i>
  </rowItems>
  <colItems count="1">
    <i/>
  </colItems>
  <dataFields count="1">
    <dataField name="Sum of Total Sales" fld="7" baseField="0" baseItem="0" numFmtId="165"/>
  </dataFields>
  <formats count="3">
    <format dxfId="573">
      <pivotArea outline="0" fieldPosition="0">
        <references count="1">
          <reference field="2" count="1" selected="0">
            <x v="0"/>
          </reference>
        </references>
      </pivotArea>
    </format>
    <format dxfId="572">
      <pivotArea outline="0" collapsedLevelsAreSubtotals="1" fieldPosition="0"/>
    </format>
    <format dxfId="571">
      <pivotArea dataOnly="0" labelOnly="1" outline="0" axis="axisValues" fieldPosition="0"/>
    </format>
  </formats>
  <chartFormats count="5">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C2F494-1308-4B00-A194-928DC648EF7A}" name="PivotTable4"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K2:L13" firstHeaderRow="1" firstDataRow="1" firstDataCol="1"/>
  <pivotFields count="9">
    <pivotField compact="0" numFmtId="14" outline="0" showAll="0"/>
    <pivotField axis="axisRow" compact="0" outline="0" showAll="0">
      <items count="11">
        <item x="0"/>
        <item x="8"/>
        <item x="3"/>
        <item x="5"/>
        <item x="7"/>
        <item x="2"/>
        <item x="1"/>
        <item x="4"/>
        <item x="9"/>
        <item x="6"/>
        <item t="default"/>
      </items>
    </pivotField>
    <pivotField compact="0" outline="0" showAll="0">
      <items count="5">
        <item x="1"/>
        <item x="3"/>
        <item x="2"/>
        <item x="0"/>
        <item t="default"/>
      </items>
    </pivotField>
    <pivotField compact="0" outline="0" showAll="0">
      <items count="8">
        <item x="2"/>
        <item x="1"/>
        <item x="5"/>
        <item x="3"/>
        <item x="6"/>
        <item x="4"/>
        <item x="0"/>
        <item t="default"/>
      </items>
    </pivotField>
    <pivotField dataField="1" compact="0" outline="0" showAll="0"/>
    <pivotField compact="0" numFmtId="164" outline="0" showAll="0"/>
    <pivotField compact="0" numFmtId="164" outline="0" showAll="0"/>
    <pivotField compact="0" numFmtId="164" outline="0" showAll="0"/>
    <pivotField compact="0" numFmtId="164" outline="0" showAll="0"/>
  </pivotFields>
  <rowFields count="1">
    <field x="1"/>
  </rowFields>
  <rowItems count="11">
    <i>
      <x/>
    </i>
    <i>
      <x v="1"/>
    </i>
    <i>
      <x v="2"/>
    </i>
    <i>
      <x v="3"/>
    </i>
    <i>
      <x v="4"/>
    </i>
    <i>
      <x v="5"/>
    </i>
    <i>
      <x v="6"/>
    </i>
    <i>
      <x v="7"/>
    </i>
    <i>
      <x v="8"/>
    </i>
    <i>
      <x v="9"/>
    </i>
    <i t="grand">
      <x/>
    </i>
  </rowItems>
  <colItems count="1">
    <i/>
  </colItems>
  <dataFields count="1">
    <dataField name="Sum of Units Sold" fld="4" baseField="0" baseItem="0"/>
  </dataFields>
  <formats count="2">
    <format dxfId="575">
      <pivotArea outline="0" collapsedLevelsAreSubtotals="1" fieldPosition="0"/>
    </format>
    <format dxfId="574">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4BE2A3-BFC2-4626-8167-4C9600CA7829}" name="PivotTable3"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H2:I10" firstHeaderRow="1" firstDataRow="1" firstDataCol="1"/>
  <pivotFields count="9">
    <pivotField compact="0" numFmtId="14" outline="0" showAll="0"/>
    <pivotField compact="0" outline="0" showAll="0">
      <items count="11">
        <item x="0"/>
        <item x="8"/>
        <item x="3"/>
        <item x="5"/>
        <item x="7"/>
        <item x="2"/>
        <item x="1"/>
        <item x="4"/>
        <item x="9"/>
        <item x="6"/>
        <item t="default"/>
      </items>
    </pivotField>
    <pivotField compact="0" outline="0" showAll="0">
      <items count="5">
        <item x="1"/>
        <item x="3"/>
        <item x="2"/>
        <item x="0"/>
        <item t="default"/>
      </items>
    </pivotField>
    <pivotField axis="axisRow" compact="0" outline="0" showAll="0">
      <items count="8">
        <item x="2"/>
        <item x="1"/>
        <item x="5"/>
        <item x="3"/>
        <item x="6"/>
        <item x="4"/>
        <item x="0"/>
        <item t="default"/>
      </items>
    </pivotField>
    <pivotField compact="0" outline="0" showAll="0"/>
    <pivotField compact="0" numFmtId="164" outline="0" showAll="0"/>
    <pivotField compact="0" numFmtId="164" outline="0" showAll="0"/>
    <pivotField dataField="1" compact="0" numFmtId="164" outline="0" showAll="0"/>
    <pivotField compact="0" numFmtId="164" outline="0" showAll="0"/>
  </pivotFields>
  <rowFields count="1">
    <field x="3"/>
  </rowFields>
  <rowItems count="8">
    <i>
      <x/>
    </i>
    <i>
      <x v="1"/>
    </i>
    <i>
      <x v="2"/>
    </i>
    <i>
      <x v="3"/>
    </i>
    <i>
      <x v="4"/>
    </i>
    <i>
      <x v="5"/>
    </i>
    <i>
      <x v="6"/>
    </i>
    <i t="grand">
      <x/>
    </i>
  </rowItems>
  <colItems count="1">
    <i/>
  </colItems>
  <dataFields count="1">
    <dataField name="Sum of Total Sales" fld="7" baseField="0" baseItem="0" numFmtId="166"/>
  </dataFields>
  <formats count="2">
    <format dxfId="577">
      <pivotArea outline="0" collapsedLevelsAreSubtotals="1" fieldPosition="0"/>
    </format>
    <format dxfId="576">
      <pivotArea dataOnly="0" labelOnly="1" outline="0" axis="axisValues" fieldPosition="0"/>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864865E-BB0E-4BC3-839A-52C4CF900C78}" sourceName="Sales Person">
  <pivotTables>
    <pivotTable tabId="3" name="PivotTable1"/>
    <pivotTable tabId="3" name="PivotTable2"/>
    <pivotTable tabId="3" name="PivotTable3"/>
    <pivotTable tabId="3" name="PivotTable4"/>
  </pivotTables>
  <data>
    <tabular pivotCacheId="817419853">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AC05C03-A0C0-400E-AF13-231F0842CC5B}" sourceName="Product">
  <pivotTables>
    <pivotTable tabId="3" name="PivotTable1"/>
    <pivotTable tabId="3" name="PivotTable4"/>
    <pivotTable tabId="3" name="PivotTable3"/>
    <pivotTable tabId="3" name="PivotTable2"/>
  </pivotTables>
  <data>
    <tabular pivotCacheId="817419853">
      <items count="7">
        <i x="2" s="1"/>
        <i x="1" s="1"/>
        <i x="5" s="1"/>
        <i x="3" s="1"/>
        <i x="6"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1C23E2-FA46-4AB8-A3DA-B2CE300BFBB0}" sourceName="Region">
  <pivotTables>
    <pivotTable tabId="3" name="PivotTable1"/>
    <pivotTable tabId="3" name="PivotTable4"/>
    <pivotTable tabId="3" name="PivotTable3"/>
    <pivotTable tabId="3" name="PivotTable2"/>
  </pivotTables>
  <data>
    <tabular pivotCacheId="817419853">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459E4C42-D4D8-4080-8CAF-04D9F0876B64}" cache="Slicer_Sales_Person" caption="Sales Person" rowHeight="228600"/>
  <slicer name="Product" xr10:uid="{7901C561-AA6D-40D2-B760-D03663664082}" cache="Slicer_Product" caption="Product" rowHeight="228600"/>
  <slicer name="Region" xr10:uid="{3217BEE5-BE6B-40B6-8B33-6A19299ACCF7}" cache="Slicer_Region" caption="Regi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21CA64-9F39-4A54-96FB-7E27C05E5035}" name="Table1" displayName="Table1" ref="A1:I51" totalsRowShown="0" headerRowDxfId="568" dataDxfId="567">
  <autoFilter ref="A1:I51" xr:uid="{AE21CA64-9F39-4A54-96FB-7E27C05E5035}"/>
  <tableColumns count="9">
    <tableColumn id="1" xr3:uid="{73CAFF8A-43D0-428B-B32E-5ED982534943}" name="Date" dataDxfId="566"/>
    <tableColumn id="2" xr3:uid="{1B4C1255-647D-4E3C-8593-1EEB6A4E093C}" name="Sales Person" dataDxfId="565"/>
    <tableColumn id="3" xr3:uid="{226232AB-1893-4EC8-B336-F13CAA0F5E20}" name="Region" dataDxfId="564"/>
    <tableColumn id="4" xr3:uid="{1C788BE3-521F-41E5-9C04-E2B0EB10371A}" name="Product" dataDxfId="563"/>
    <tableColumn id="5" xr3:uid="{87B1B887-4709-437E-A9D1-0020F50D21F1}" name="Units Sold" dataDxfId="562"/>
    <tableColumn id="6" xr3:uid="{87E94430-0BB6-4FEF-82A8-0992A69C1364}" name="Unit Price" dataDxfId="561">
      <calculatedColumnFormula>IF(D2="Tent",6000,IF(D2="Blender",3500,IF(D2="Action Figure",1200,IF(D2="Novel",1000,IF(D2="Sneakers",4000,IF(D2="Smartphone",10000,IF(D2="moisturizer",600,"No Product Found")))))))</calculatedColumnFormula>
    </tableColumn>
    <tableColumn id="7" xr3:uid="{C2353751-3CF5-4A55-8D4A-4C7E1CEDD31E}" name="Cost of Goods" dataDxfId="560">
      <calculatedColumnFormula>IF(D2="Tent",4000,IF(D2="Blender",2500,IF(D2="Action Figure",800,IF(D2="Novel",700,IF(D2="Sneakers",3000,IF(D2="Smartphone",7000,IF(D2="moisturizer",400,"No Product Found")))))))</calculatedColumnFormula>
    </tableColumn>
    <tableColumn id="8" xr3:uid="{74DAD0AC-009A-4D23-A45B-614FA1EE55E7}" name="Total Sales" dataDxfId="559">
      <calculatedColumnFormula>F2*E2</calculatedColumnFormula>
    </tableColumn>
    <tableColumn id="9" xr3:uid="{205E005F-E591-44D9-8721-06D963DC719E}" name="Profit" dataDxfId="558">
      <calculatedColumnFormula>H2-(G2*E2)</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1"/>
  <sheetViews>
    <sheetView workbookViewId="0">
      <selection activeCell="K2" sqref="K2"/>
    </sheetView>
  </sheetViews>
  <sheetFormatPr defaultRowHeight="14.4" x14ac:dyDescent="0.3"/>
  <cols>
    <col min="1" max="1" width="10.88671875" bestFit="1" customWidth="1"/>
    <col min="2" max="2" width="14.5546875" bestFit="1" customWidth="1"/>
    <col min="3" max="3" width="9.109375" bestFit="1" customWidth="1"/>
    <col min="4" max="4" width="12" bestFit="1" customWidth="1"/>
    <col min="5" max="5" width="12.109375" bestFit="1" customWidth="1"/>
    <col min="6" max="6" width="11.6640625" bestFit="1" customWidth="1"/>
    <col min="7" max="7" width="15.5546875" bestFit="1" customWidth="1"/>
    <col min="8" max="8" width="13.44140625" bestFit="1" customWidth="1"/>
    <col min="9" max="9" width="11.88671875" bestFit="1" customWidth="1"/>
    <col min="11" max="11" width="15.33203125" style="16" bestFit="1" customWidth="1"/>
    <col min="13" max="13" width="11.6640625" bestFit="1" customWidth="1"/>
  </cols>
  <sheetData>
    <row r="1" spans="1:13" x14ac:dyDescent="0.3">
      <c r="A1" s="1" t="s">
        <v>0</v>
      </c>
      <c r="B1" s="1" t="s">
        <v>1</v>
      </c>
      <c r="C1" s="1" t="s">
        <v>2</v>
      </c>
      <c r="D1" s="1" t="s">
        <v>3</v>
      </c>
      <c r="E1" s="1" t="s">
        <v>4</v>
      </c>
      <c r="F1" s="1" t="s">
        <v>5</v>
      </c>
      <c r="G1" s="1" t="s">
        <v>6</v>
      </c>
      <c r="H1" s="1" t="s">
        <v>7</v>
      </c>
      <c r="I1" s="8" t="s">
        <v>8</v>
      </c>
      <c r="K1" s="14" t="s">
        <v>9</v>
      </c>
      <c r="L1" s="6"/>
    </row>
    <row r="2" spans="1:13" x14ac:dyDescent="0.3">
      <c r="A2" s="2">
        <v>44246</v>
      </c>
      <c r="B2" s="3" t="s">
        <v>10</v>
      </c>
      <c r="C2" s="3" t="s">
        <v>11</v>
      </c>
      <c r="D2" s="3" t="s">
        <v>12</v>
      </c>
      <c r="E2" s="4">
        <v>84</v>
      </c>
      <c r="F2" s="5">
        <f t="shared" ref="F2:F51" si="0">IF(D2="Tent",6000,IF(D2="Blender",3500,IF(D2="Action Figure",1200,IF(D2="Novel",1000,IF(D2="Sneakers",4000,IF(D2="Smartphone",10000,IF(D2="moisturizer",600,"No Product Found")))))))</f>
        <v>6000</v>
      </c>
      <c r="G2" s="5">
        <f t="shared" ref="G2:G51" si="1">IF(D2="Tent",4000,IF(D2="Blender",2500,IF(D2="Action Figure",800,IF(D2="Novel",700,IF(D2="Sneakers",3000,IF(D2="Smartphone",7000,IF(D2="moisturizer",400,"No Product Found")))))))</f>
        <v>4000</v>
      </c>
      <c r="H2" s="5">
        <f t="shared" ref="H2:H51" si="2">F2*E2</f>
        <v>504000</v>
      </c>
      <c r="I2" s="5">
        <f>H2-(G2*E2)</f>
        <v>168000</v>
      </c>
      <c r="J2" s="7"/>
      <c r="K2" s="15">
        <f>SUM(H2:H51)</f>
        <v>12944500</v>
      </c>
    </row>
    <row r="3" spans="1:13" x14ac:dyDescent="0.3">
      <c r="A3" s="2">
        <v>44446</v>
      </c>
      <c r="B3" s="3" t="s">
        <v>13</v>
      </c>
      <c r="C3" s="3" t="s">
        <v>14</v>
      </c>
      <c r="D3" s="3" t="s">
        <v>15</v>
      </c>
      <c r="E3" s="4">
        <v>128</v>
      </c>
      <c r="F3" s="5">
        <f t="shared" si="0"/>
        <v>3500</v>
      </c>
      <c r="G3" s="5">
        <f t="shared" si="1"/>
        <v>2500</v>
      </c>
      <c r="H3" s="5">
        <f t="shared" si="2"/>
        <v>448000</v>
      </c>
      <c r="I3" s="5">
        <f t="shared" ref="I3:I51" si="3">H3-(G3*E3)</f>
        <v>128000</v>
      </c>
      <c r="K3" s="16" t="s">
        <v>16</v>
      </c>
    </row>
    <row r="4" spans="1:13" x14ac:dyDescent="0.3">
      <c r="A4" s="2">
        <v>44230</v>
      </c>
      <c r="B4" s="3" t="s">
        <v>17</v>
      </c>
      <c r="C4" s="3" t="s">
        <v>18</v>
      </c>
      <c r="D4" s="3" t="s">
        <v>19</v>
      </c>
      <c r="E4" s="4">
        <v>136</v>
      </c>
      <c r="F4" s="5">
        <f t="shared" si="0"/>
        <v>1200</v>
      </c>
      <c r="G4" s="5">
        <f t="shared" si="1"/>
        <v>800</v>
      </c>
      <c r="H4" s="5">
        <f t="shared" si="2"/>
        <v>163200</v>
      </c>
      <c r="I4" s="5">
        <f t="shared" si="3"/>
        <v>54400</v>
      </c>
      <c r="K4" s="16">
        <f>SUM(E2:E51)</f>
        <v>4705</v>
      </c>
      <c r="M4" s="7"/>
    </row>
    <row r="5" spans="1:13" x14ac:dyDescent="0.3">
      <c r="A5" s="2">
        <v>44085</v>
      </c>
      <c r="B5" s="3" t="s">
        <v>20</v>
      </c>
      <c r="C5" s="3" t="s">
        <v>21</v>
      </c>
      <c r="D5" s="3" t="s">
        <v>22</v>
      </c>
      <c r="E5" s="4">
        <v>91</v>
      </c>
      <c r="F5" s="5">
        <f t="shared" si="0"/>
        <v>1000</v>
      </c>
      <c r="G5" s="5">
        <f t="shared" si="1"/>
        <v>700</v>
      </c>
      <c r="H5" s="5">
        <f t="shared" si="2"/>
        <v>91000</v>
      </c>
      <c r="I5" s="5">
        <f t="shared" si="3"/>
        <v>27300</v>
      </c>
      <c r="K5" s="14" t="s">
        <v>23</v>
      </c>
      <c r="L5" s="6"/>
      <c r="M5" s="7"/>
    </row>
    <row r="6" spans="1:13" x14ac:dyDescent="0.3">
      <c r="A6" s="2">
        <v>44462</v>
      </c>
      <c r="B6" s="3" t="s">
        <v>24</v>
      </c>
      <c r="C6" s="3" t="s">
        <v>11</v>
      </c>
      <c r="D6" s="3" t="s">
        <v>25</v>
      </c>
      <c r="E6" s="4">
        <v>110</v>
      </c>
      <c r="F6" s="5">
        <f t="shared" si="0"/>
        <v>4000</v>
      </c>
      <c r="G6" s="5">
        <f t="shared" si="1"/>
        <v>3000</v>
      </c>
      <c r="H6" s="5">
        <f t="shared" si="2"/>
        <v>440000</v>
      </c>
      <c r="I6" s="5">
        <f t="shared" si="3"/>
        <v>110000</v>
      </c>
      <c r="K6" s="16">
        <f>SUM(I2:I51)</f>
        <v>3834400</v>
      </c>
    </row>
    <row r="7" spans="1:13" x14ac:dyDescent="0.3">
      <c r="A7" s="2">
        <v>44105</v>
      </c>
      <c r="B7" s="3" t="s">
        <v>26</v>
      </c>
      <c r="C7" s="3" t="s">
        <v>14</v>
      </c>
      <c r="D7" s="3" t="s">
        <v>19</v>
      </c>
      <c r="E7" s="4">
        <v>51</v>
      </c>
      <c r="F7" s="5">
        <f t="shared" si="0"/>
        <v>1200</v>
      </c>
      <c r="G7" s="5">
        <f t="shared" si="1"/>
        <v>800</v>
      </c>
      <c r="H7" s="5">
        <f t="shared" si="2"/>
        <v>61200</v>
      </c>
      <c r="I7" s="5">
        <f t="shared" si="3"/>
        <v>20400</v>
      </c>
      <c r="K7" s="14" t="s">
        <v>27</v>
      </c>
      <c r="L7" s="6"/>
    </row>
    <row r="8" spans="1:13" x14ac:dyDescent="0.3">
      <c r="A8" s="2">
        <v>44413</v>
      </c>
      <c r="B8" s="3" t="s">
        <v>28</v>
      </c>
      <c r="C8" s="3" t="s">
        <v>21</v>
      </c>
      <c r="D8" s="3" t="s">
        <v>22</v>
      </c>
      <c r="E8" s="4">
        <v>78</v>
      </c>
      <c r="F8" s="5">
        <f t="shared" si="0"/>
        <v>1000</v>
      </c>
      <c r="G8" s="5">
        <f t="shared" si="1"/>
        <v>700</v>
      </c>
      <c r="H8" s="5">
        <f t="shared" si="2"/>
        <v>78000</v>
      </c>
      <c r="I8" s="5">
        <f t="shared" si="3"/>
        <v>23400</v>
      </c>
      <c r="K8" s="16">
        <f>AVERAGE(H2:H51)</f>
        <v>258890</v>
      </c>
    </row>
    <row r="9" spans="1:13" x14ac:dyDescent="0.3">
      <c r="A9" s="2">
        <v>44141</v>
      </c>
      <c r="B9" s="3" t="s">
        <v>29</v>
      </c>
      <c r="C9" s="3" t="s">
        <v>18</v>
      </c>
      <c r="D9" s="3" t="s">
        <v>12</v>
      </c>
      <c r="E9" s="4">
        <v>146</v>
      </c>
      <c r="F9" s="5">
        <f t="shared" si="0"/>
        <v>6000</v>
      </c>
      <c r="G9" s="5">
        <f t="shared" si="1"/>
        <v>4000</v>
      </c>
      <c r="H9" s="5">
        <f t="shared" si="2"/>
        <v>876000</v>
      </c>
      <c r="I9" s="5">
        <f t="shared" si="3"/>
        <v>292000</v>
      </c>
    </row>
    <row r="10" spans="1:13" x14ac:dyDescent="0.3">
      <c r="A10" s="2">
        <v>44223</v>
      </c>
      <c r="B10" s="3" t="s">
        <v>30</v>
      </c>
      <c r="C10" s="3" t="s">
        <v>11</v>
      </c>
      <c r="D10" s="3" t="s">
        <v>31</v>
      </c>
      <c r="E10" s="4">
        <v>101</v>
      </c>
      <c r="F10" s="5">
        <f t="shared" si="0"/>
        <v>600</v>
      </c>
      <c r="G10" s="5">
        <f t="shared" si="1"/>
        <v>400</v>
      </c>
      <c r="H10" s="5">
        <f t="shared" si="2"/>
        <v>60600</v>
      </c>
      <c r="I10" s="5">
        <f t="shared" si="3"/>
        <v>20200</v>
      </c>
    </row>
    <row r="11" spans="1:13" x14ac:dyDescent="0.3">
      <c r="A11" s="2">
        <v>44442</v>
      </c>
      <c r="B11" s="3" t="s">
        <v>32</v>
      </c>
      <c r="C11" s="3" t="s">
        <v>18</v>
      </c>
      <c r="D11" s="3" t="s">
        <v>12</v>
      </c>
      <c r="E11" s="4">
        <v>52</v>
      </c>
      <c r="F11" s="5">
        <f t="shared" si="0"/>
        <v>6000</v>
      </c>
      <c r="G11" s="5">
        <f t="shared" si="1"/>
        <v>4000</v>
      </c>
      <c r="H11" s="5">
        <f t="shared" si="2"/>
        <v>312000</v>
      </c>
      <c r="I11" s="5">
        <f t="shared" si="3"/>
        <v>104000</v>
      </c>
    </row>
    <row r="12" spans="1:13" x14ac:dyDescent="0.3">
      <c r="A12" s="2">
        <v>44469</v>
      </c>
      <c r="B12" s="3" t="s">
        <v>32</v>
      </c>
      <c r="C12" s="3" t="s">
        <v>14</v>
      </c>
      <c r="D12" s="3" t="s">
        <v>19</v>
      </c>
      <c r="E12" s="4">
        <v>55</v>
      </c>
      <c r="F12" s="5">
        <f t="shared" si="0"/>
        <v>1200</v>
      </c>
      <c r="G12" s="5">
        <f t="shared" si="1"/>
        <v>800</v>
      </c>
      <c r="H12" s="5">
        <f t="shared" si="2"/>
        <v>66000</v>
      </c>
      <c r="I12" s="5">
        <f t="shared" si="3"/>
        <v>22000</v>
      </c>
    </row>
    <row r="13" spans="1:13" x14ac:dyDescent="0.3">
      <c r="A13" s="2">
        <v>44084</v>
      </c>
      <c r="B13" s="3" t="s">
        <v>32</v>
      </c>
      <c r="C13" s="3" t="s">
        <v>18</v>
      </c>
      <c r="D13" s="3" t="s">
        <v>22</v>
      </c>
      <c r="E13" s="4">
        <v>137</v>
      </c>
      <c r="F13" s="5">
        <f t="shared" si="0"/>
        <v>1000</v>
      </c>
      <c r="G13" s="5">
        <f t="shared" si="1"/>
        <v>700</v>
      </c>
      <c r="H13" s="5">
        <f t="shared" si="2"/>
        <v>137000</v>
      </c>
      <c r="I13" s="5">
        <f t="shared" si="3"/>
        <v>41100</v>
      </c>
    </row>
    <row r="14" spans="1:13" x14ac:dyDescent="0.3">
      <c r="A14" s="2">
        <v>44404</v>
      </c>
      <c r="B14" s="3" t="s">
        <v>29</v>
      </c>
      <c r="C14" s="3" t="s">
        <v>18</v>
      </c>
      <c r="D14" s="3" t="s">
        <v>15</v>
      </c>
      <c r="E14" s="4">
        <v>96</v>
      </c>
      <c r="F14" s="5">
        <f t="shared" si="0"/>
        <v>3500</v>
      </c>
      <c r="G14" s="5">
        <f t="shared" si="1"/>
        <v>2500</v>
      </c>
      <c r="H14" s="5">
        <f t="shared" si="2"/>
        <v>336000</v>
      </c>
      <c r="I14" s="5">
        <f t="shared" si="3"/>
        <v>96000</v>
      </c>
    </row>
    <row r="15" spans="1:13" x14ac:dyDescent="0.3">
      <c r="A15" s="2">
        <v>44113</v>
      </c>
      <c r="B15" s="3" t="s">
        <v>30</v>
      </c>
      <c r="C15" s="3" t="s">
        <v>14</v>
      </c>
      <c r="D15" s="3" t="s">
        <v>25</v>
      </c>
      <c r="E15" s="4">
        <v>52</v>
      </c>
      <c r="F15" s="5">
        <f t="shared" si="0"/>
        <v>4000</v>
      </c>
      <c r="G15" s="5">
        <f t="shared" si="1"/>
        <v>3000</v>
      </c>
      <c r="H15" s="5">
        <f t="shared" si="2"/>
        <v>208000</v>
      </c>
      <c r="I15" s="5">
        <f t="shared" si="3"/>
        <v>52000</v>
      </c>
    </row>
    <row r="16" spans="1:13" x14ac:dyDescent="0.3">
      <c r="A16" s="2">
        <v>44292</v>
      </c>
      <c r="B16" s="3" t="s">
        <v>20</v>
      </c>
      <c r="C16" s="3" t="s">
        <v>11</v>
      </c>
      <c r="D16" s="3" t="s">
        <v>15</v>
      </c>
      <c r="E16" s="4">
        <v>76</v>
      </c>
      <c r="F16" s="5">
        <f t="shared" si="0"/>
        <v>3500</v>
      </c>
      <c r="G16" s="5">
        <f t="shared" si="1"/>
        <v>2500</v>
      </c>
      <c r="H16" s="5">
        <f t="shared" si="2"/>
        <v>266000</v>
      </c>
      <c r="I16" s="5">
        <f t="shared" si="3"/>
        <v>76000</v>
      </c>
    </row>
    <row r="17" spans="1:9" x14ac:dyDescent="0.3">
      <c r="A17" s="2">
        <v>44362</v>
      </c>
      <c r="B17" s="3" t="s">
        <v>13</v>
      </c>
      <c r="C17" s="3" t="s">
        <v>21</v>
      </c>
      <c r="D17" s="3" t="s">
        <v>25</v>
      </c>
      <c r="E17" s="4">
        <v>145</v>
      </c>
      <c r="F17" s="5">
        <f t="shared" si="0"/>
        <v>4000</v>
      </c>
      <c r="G17" s="5">
        <f t="shared" si="1"/>
        <v>3000</v>
      </c>
      <c r="H17" s="5">
        <f t="shared" si="2"/>
        <v>580000</v>
      </c>
      <c r="I17" s="5">
        <f t="shared" si="3"/>
        <v>145000</v>
      </c>
    </row>
    <row r="18" spans="1:9" x14ac:dyDescent="0.3">
      <c r="A18" s="2">
        <v>44083</v>
      </c>
      <c r="B18" s="3" t="s">
        <v>10</v>
      </c>
      <c r="C18" s="3" t="s">
        <v>18</v>
      </c>
      <c r="D18" s="3" t="s">
        <v>31</v>
      </c>
      <c r="E18" s="4">
        <v>83</v>
      </c>
      <c r="F18" s="5">
        <f t="shared" si="0"/>
        <v>600</v>
      </c>
      <c r="G18" s="5">
        <f t="shared" si="1"/>
        <v>400</v>
      </c>
      <c r="H18" s="5">
        <f t="shared" si="2"/>
        <v>49800</v>
      </c>
      <c r="I18" s="5">
        <f t="shared" si="3"/>
        <v>16600</v>
      </c>
    </row>
    <row r="19" spans="1:9" x14ac:dyDescent="0.3">
      <c r="A19" s="2">
        <v>44421</v>
      </c>
      <c r="B19" s="3" t="s">
        <v>24</v>
      </c>
      <c r="C19" s="3" t="s">
        <v>18</v>
      </c>
      <c r="D19" s="3" t="s">
        <v>22</v>
      </c>
      <c r="E19" s="4">
        <v>91</v>
      </c>
      <c r="F19" s="5">
        <f t="shared" si="0"/>
        <v>1000</v>
      </c>
      <c r="G19" s="5">
        <f t="shared" si="1"/>
        <v>700</v>
      </c>
      <c r="H19" s="5">
        <f t="shared" si="2"/>
        <v>91000</v>
      </c>
      <c r="I19" s="5">
        <f t="shared" si="3"/>
        <v>27300</v>
      </c>
    </row>
    <row r="20" spans="1:9" x14ac:dyDescent="0.3">
      <c r="A20" s="2">
        <v>44070</v>
      </c>
      <c r="B20" s="3" t="s">
        <v>26</v>
      </c>
      <c r="C20" s="3" t="s">
        <v>11</v>
      </c>
      <c r="D20" s="3" t="s">
        <v>33</v>
      </c>
      <c r="E20" s="4">
        <v>108</v>
      </c>
      <c r="F20" s="5">
        <f t="shared" si="0"/>
        <v>10000</v>
      </c>
      <c r="G20" s="5">
        <f t="shared" si="1"/>
        <v>7000</v>
      </c>
      <c r="H20" s="5">
        <f t="shared" si="2"/>
        <v>1080000</v>
      </c>
      <c r="I20" s="5">
        <f t="shared" si="3"/>
        <v>324000</v>
      </c>
    </row>
    <row r="21" spans="1:9" x14ac:dyDescent="0.3">
      <c r="A21" s="2">
        <v>44293</v>
      </c>
      <c r="B21" s="3" t="s">
        <v>17</v>
      </c>
      <c r="C21" s="3" t="s">
        <v>21</v>
      </c>
      <c r="D21" s="3" t="s">
        <v>25</v>
      </c>
      <c r="E21" s="4">
        <v>144</v>
      </c>
      <c r="F21" s="5">
        <f t="shared" si="0"/>
        <v>4000</v>
      </c>
      <c r="G21" s="5">
        <f t="shared" si="1"/>
        <v>3000</v>
      </c>
      <c r="H21" s="5">
        <f t="shared" si="2"/>
        <v>576000</v>
      </c>
      <c r="I21" s="5">
        <f t="shared" si="3"/>
        <v>144000</v>
      </c>
    </row>
    <row r="22" spans="1:9" x14ac:dyDescent="0.3">
      <c r="A22" s="2">
        <v>43990</v>
      </c>
      <c r="B22" s="3" t="s">
        <v>24</v>
      </c>
      <c r="C22" s="3" t="s">
        <v>18</v>
      </c>
      <c r="D22" s="3" t="s">
        <v>31</v>
      </c>
      <c r="E22" s="4">
        <v>92</v>
      </c>
      <c r="F22" s="5">
        <f t="shared" si="0"/>
        <v>600</v>
      </c>
      <c r="G22" s="5">
        <f t="shared" si="1"/>
        <v>400</v>
      </c>
      <c r="H22" s="5">
        <f t="shared" si="2"/>
        <v>55200</v>
      </c>
      <c r="I22" s="5">
        <f t="shared" si="3"/>
        <v>18400</v>
      </c>
    </row>
    <row r="23" spans="1:9" x14ac:dyDescent="0.3">
      <c r="A23" s="2">
        <v>44551</v>
      </c>
      <c r="B23" s="3" t="s">
        <v>29</v>
      </c>
      <c r="C23" s="3" t="s">
        <v>11</v>
      </c>
      <c r="D23" s="3" t="s">
        <v>12</v>
      </c>
      <c r="E23" s="4">
        <v>71</v>
      </c>
      <c r="F23" s="5">
        <f t="shared" si="0"/>
        <v>6000</v>
      </c>
      <c r="G23" s="5">
        <f t="shared" si="1"/>
        <v>4000</v>
      </c>
      <c r="H23" s="5">
        <f t="shared" si="2"/>
        <v>426000</v>
      </c>
      <c r="I23" s="5">
        <f t="shared" si="3"/>
        <v>142000</v>
      </c>
    </row>
    <row r="24" spans="1:9" x14ac:dyDescent="0.3">
      <c r="A24" s="2">
        <v>44418</v>
      </c>
      <c r="B24" s="3" t="s">
        <v>10</v>
      </c>
      <c r="C24" s="3" t="s">
        <v>14</v>
      </c>
      <c r="D24" s="3" t="s">
        <v>31</v>
      </c>
      <c r="E24" s="4">
        <v>103</v>
      </c>
      <c r="F24" s="5">
        <f t="shared" si="0"/>
        <v>600</v>
      </c>
      <c r="G24" s="5">
        <f t="shared" si="1"/>
        <v>400</v>
      </c>
      <c r="H24" s="5">
        <f t="shared" si="2"/>
        <v>61800</v>
      </c>
      <c r="I24" s="5">
        <f t="shared" si="3"/>
        <v>20600</v>
      </c>
    </row>
    <row r="25" spans="1:9" x14ac:dyDescent="0.3">
      <c r="A25" s="2">
        <v>44532</v>
      </c>
      <c r="B25" s="3" t="s">
        <v>32</v>
      </c>
      <c r="C25" s="3" t="s">
        <v>21</v>
      </c>
      <c r="D25" s="3" t="s">
        <v>22</v>
      </c>
      <c r="E25" s="4">
        <v>55</v>
      </c>
      <c r="F25" s="5">
        <f t="shared" si="0"/>
        <v>1000</v>
      </c>
      <c r="G25" s="5">
        <f t="shared" si="1"/>
        <v>700</v>
      </c>
      <c r="H25" s="5">
        <f t="shared" si="2"/>
        <v>55000</v>
      </c>
      <c r="I25" s="5">
        <f t="shared" si="3"/>
        <v>16500</v>
      </c>
    </row>
    <row r="26" spans="1:9" x14ac:dyDescent="0.3">
      <c r="A26" s="2">
        <v>44438</v>
      </c>
      <c r="B26" s="3" t="s">
        <v>26</v>
      </c>
      <c r="C26" s="3" t="s">
        <v>14</v>
      </c>
      <c r="D26" s="3" t="s">
        <v>25</v>
      </c>
      <c r="E26" s="4">
        <v>93</v>
      </c>
      <c r="F26" s="5">
        <f t="shared" si="0"/>
        <v>4000</v>
      </c>
      <c r="G26" s="5">
        <f t="shared" si="1"/>
        <v>3000</v>
      </c>
      <c r="H26" s="5">
        <f t="shared" si="2"/>
        <v>372000</v>
      </c>
      <c r="I26" s="5">
        <f t="shared" si="3"/>
        <v>93000</v>
      </c>
    </row>
    <row r="27" spans="1:9" x14ac:dyDescent="0.3">
      <c r="A27" s="2">
        <v>43971</v>
      </c>
      <c r="B27" s="3" t="s">
        <v>17</v>
      </c>
      <c r="C27" s="3" t="s">
        <v>18</v>
      </c>
      <c r="D27" s="3" t="s">
        <v>31</v>
      </c>
      <c r="E27" s="4">
        <v>143</v>
      </c>
      <c r="F27" s="5">
        <f t="shared" si="0"/>
        <v>600</v>
      </c>
      <c r="G27" s="5">
        <f t="shared" si="1"/>
        <v>400</v>
      </c>
      <c r="H27" s="5">
        <f t="shared" si="2"/>
        <v>85800</v>
      </c>
      <c r="I27" s="5">
        <f t="shared" si="3"/>
        <v>28600</v>
      </c>
    </row>
    <row r="28" spans="1:9" x14ac:dyDescent="0.3">
      <c r="A28" s="2">
        <v>44452</v>
      </c>
      <c r="B28" s="3" t="s">
        <v>28</v>
      </c>
      <c r="C28" s="3" t="s">
        <v>11</v>
      </c>
      <c r="D28" s="3" t="s">
        <v>15</v>
      </c>
      <c r="E28" s="4">
        <v>143</v>
      </c>
      <c r="F28" s="5">
        <f t="shared" si="0"/>
        <v>3500</v>
      </c>
      <c r="G28" s="5">
        <f t="shared" si="1"/>
        <v>2500</v>
      </c>
      <c r="H28" s="5">
        <f t="shared" si="2"/>
        <v>500500</v>
      </c>
      <c r="I28" s="5">
        <f t="shared" si="3"/>
        <v>143000</v>
      </c>
    </row>
    <row r="29" spans="1:9" x14ac:dyDescent="0.3">
      <c r="A29" s="2">
        <v>44496</v>
      </c>
      <c r="B29" s="3" t="s">
        <v>30</v>
      </c>
      <c r="C29" s="3" t="s">
        <v>21</v>
      </c>
      <c r="D29" s="3" t="s">
        <v>31</v>
      </c>
      <c r="E29" s="4">
        <v>99</v>
      </c>
      <c r="F29" s="5">
        <f t="shared" si="0"/>
        <v>600</v>
      </c>
      <c r="G29" s="5">
        <f t="shared" si="1"/>
        <v>400</v>
      </c>
      <c r="H29" s="5">
        <f t="shared" si="2"/>
        <v>59400</v>
      </c>
      <c r="I29" s="5">
        <f t="shared" si="3"/>
        <v>19800</v>
      </c>
    </row>
    <row r="30" spans="1:9" x14ac:dyDescent="0.3">
      <c r="A30" s="2">
        <v>44187</v>
      </c>
      <c r="B30" s="3" t="s">
        <v>20</v>
      </c>
      <c r="C30" s="3" t="s">
        <v>11</v>
      </c>
      <c r="D30" s="3" t="s">
        <v>22</v>
      </c>
      <c r="E30" s="4">
        <v>120</v>
      </c>
      <c r="F30" s="5">
        <f t="shared" si="0"/>
        <v>1000</v>
      </c>
      <c r="G30" s="5">
        <f t="shared" si="1"/>
        <v>700</v>
      </c>
      <c r="H30" s="5">
        <f t="shared" si="2"/>
        <v>120000</v>
      </c>
      <c r="I30" s="5">
        <f t="shared" si="3"/>
        <v>36000</v>
      </c>
    </row>
    <row r="31" spans="1:9" x14ac:dyDescent="0.3">
      <c r="A31" s="2">
        <v>44405</v>
      </c>
      <c r="B31" s="3" t="s">
        <v>13</v>
      </c>
      <c r="C31" s="3" t="s">
        <v>18</v>
      </c>
      <c r="D31" s="3" t="s">
        <v>15</v>
      </c>
      <c r="E31" s="4">
        <v>66</v>
      </c>
      <c r="F31" s="5">
        <f t="shared" si="0"/>
        <v>3500</v>
      </c>
      <c r="G31" s="5">
        <f t="shared" si="1"/>
        <v>2500</v>
      </c>
      <c r="H31" s="5">
        <f t="shared" si="2"/>
        <v>231000</v>
      </c>
      <c r="I31" s="5">
        <f t="shared" si="3"/>
        <v>66000</v>
      </c>
    </row>
    <row r="32" spans="1:9" x14ac:dyDescent="0.3">
      <c r="A32" s="2">
        <v>44103</v>
      </c>
      <c r="B32" s="3" t="s">
        <v>30</v>
      </c>
      <c r="C32" s="3" t="s">
        <v>21</v>
      </c>
      <c r="D32" s="3" t="s">
        <v>19</v>
      </c>
      <c r="E32" s="4">
        <v>88</v>
      </c>
      <c r="F32" s="5">
        <f t="shared" si="0"/>
        <v>1200</v>
      </c>
      <c r="G32" s="5">
        <f t="shared" si="1"/>
        <v>800</v>
      </c>
      <c r="H32" s="5">
        <f t="shared" si="2"/>
        <v>105600</v>
      </c>
      <c r="I32" s="5">
        <f t="shared" si="3"/>
        <v>35200</v>
      </c>
    </row>
    <row r="33" spans="1:9" x14ac:dyDescent="0.3">
      <c r="A33" s="2">
        <v>44126</v>
      </c>
      <c r="B33" s="3" t="s">
        <v>20</v>
      </c>
      <c r="C33" s="3" t="s">
        <v>14</v>
      </c>
      <c r="D33" s="3" t="s">
        <v>33</v>
      </c>
      <c r="E33" s="4">
        <v>127</v>
      </c>
      <c r="F33" s="5">
        <f t="shared" si="0"/>
        <v>10000</v>
      </c>
      <c r="G33" s="5">
        <f t="shared" si="1"/>
        <v>7000</v>
      </c>
      <c r="H33" s="5">
        <f t="shared" si="2"/>
        <v>1270000</v>
      </c>
      <c r="I33" s="5">
        <f t="shared" si="3"/>
        <v>381000</v>
      </c>
    </row>
    <row r="34" spans="1:9" x14ac:dyDescent="0.3">
      <c r="A34" s="2">
        <v>43970</v>
      </c>
      <c r="B34" s="3" t="s">
        <v>24</v>
      </c>
      <c r="C34" s="3" t="s">
        <v>11</v>
      </c>
      <c r="D34" s="3" t="s">
        <v>25</v>
      </c>
      <c r="E34" s="4">
        <v>67</v>
      </c>
      <c r="F34" s="5">
        <f t="shared" si="0"/>
        <v>4000</v>
      </c>
      <c r="G34" s="5">
        <f t="shared" si="1"/>
        <v>3000</v>
      </c>
      <c r="H34" s="5">
        <f t="shared" si="2"/>
        <v>268000</v>
      </c>
      <c r="I34" s="5">
        <f t="shared" si="3"/>
        <v>67000</v>
      </c>
    </row>
    <row r="35" spans="1:9" x14ac:dyDescent="0.3">
      <c r="A35" s="2">
        <v>44536</v>
      </c>
      <c r="B35" s="3" t="s">
        <v>13</v>
      </c>
      <c r="C35" s="3" t="s">
        <v>14</v>
      </c>
      <c r="D35" s="3" t="s">
        <v>19</v>
      </c>
      <c r="E35" s="4">
        <v>67</v>
      </c>
      <c r="F35" s="5">
        <f t="shared" si="0"/>
        <v>1200</v>
      </c>
      <c r="G35" s="5">
        <f t="shared" si="1"/>
        <v>800</v>
      </c>
      <c r="H35" s="5">
        <f t="shared" si="2"/>
        <v>80400</v>
      </c>
      <c r="I35" s="5">
        <f t="shared" si="3"/>
        <v>26800</v>
      </c>
    </row>
    <row r="36" spans="1:9" x14ac:dyDescent="0.3">
      <c r="A36" s="2">
        <v>44069</v>
      </c>
      <c r="B36" s="3" t="s">
        <v>32</v>
      </c>
      <c r="C36" s="3" t="s">
        <v>18</v>
      </c>
      <c r="D36" s="3" t="s">
        <v>22</v>
      </c>
      <c r="E36" s="4">
        <v>149</v>
      </c>
      <c r="F36" s="5">
        <f t="shared" si="0"/>
        <v>1000</v>
      </c>
      <c r="G36" s="5">
        <f t="shared" si="1"/>
        <v>700</v>
      </c>
      <c r="H36" s="5">
        <f t="shared" si="2"/>
        <v>149000</v>
      </c>
      <c r="I36" s="5">
        <f t="shared" si="3"/>
        <v>44700</v>
      </c>
    </row>
    <row r="37" spans="1:9" x14ac:dyDescent="0.3">
      <c r="A37" s="2">
        <v>44378</v>
      </c>
      <c r="B37" s="3" t="s">
        <v>24</v>
      </c>
      <c r="C37" s="3" t="s">
        <v>21</v>
      </c>
      <c r="D37" s="3" t="s">
        <v>31</v>
      </c>
      <c r="E37" s="4">
        <v>104</v>
      </c>
      <c r="F37" s="5">
        <f t="shared" si="0"/>
        <v>600</v>
      </c>
      <c r="G37" s="5">
        <f t="shared" si="1"/>
        <v>400</v>
      </c>
      <c r="H37" s="5">
        <f t="shared" si="2"/>
        <v>62400</v>
      </c>
      <c r="I37" s="5">
        <f t="shared" si="3"/>
        <v>20800</v>
      </c>
    </row>
    <row r="38" spans="1:9" x14ac:dyDescent="0.3">
      <c r="A38" s="2">
        <v>44404</v>
      </c>
      <c r="B38" s="3" t="s">
        <v>29</v>
      </c>
      <c r="C38" s="3" t="s">
        <v>11</v>
      </c>
      <c r="D38" s="3" t="s">
        <v>31</v>
      </c>
      <c r="E38" s="4">
        <v>57</v>
      </c>
      <c r="F38" s="5">
        <f t="shared" si="0"/>
        <v>600</v>
      </c>
      <c r="G38" s="5">
        <f t="shared" si="1"/>
        <v>400</v>
      </c>
      <c r="H38" s="5">
        <f t="shared" si="2"/>
        <v>34200</v>
      </c>
      <c r="I38" s="5">
        <f t="shared" si="3"/>
        <v>11400</v>
      </c>
    </row>
    <row r="39" spans="1:9" x14ac:dyDescent="0.3">
      <c r="A39" s="2">
        <v>44109</v>
      </c>
      <c r="B39" s="3" t="s">
        <v>17</v>
      </c>
      <c r="C39" s="3" t="s">
        <v>14</v>
      </c>
      <c r="D39" s="3" t="s">
        <v>31</v>
      </c>
      <c r="E39" s="4">
        <v>90</v>
      </c>
      <c r="F39" s="5">
        <f t="shared" si="0"/>
        <v>600</v>
      </c>
      <c r="G39" s="5">
        <f t="shared" si="1"/>
        <v>400</v>
      </c>
      <c r="H39" s="5">
        <f t="shared" si="2"/>
        <v>54000</v>
      </c>
      <c r="I39" s="5">
        <f t="shared" si="3"/>
        <v>18000</v>
      </c>
    </row>
    <row r="40" spans="1:9" x14ac:dyDescent="0.3">
      <c r="A40" s="2">
        <v>44076</v>
      </c>
      <c r="B40" s="3" t="s">
        <v>26</v>
      </c>
      <c r="C40" s="3" t="s">
        <v>18</v>
      </c>
      <c r="D40" s="3" t="s">
        <v>31</v>
      </c>
      <c r="E40" s="4">
        <v>67</v>
      </c>
      <c r="F40" s="5">
        <f t="shared" si="0"/>
        <v>600</v>
      </c>
      <c r="G40" s="5">
        <f t="shared" si="1"/>
        <v>400</v>
      </c>
      <c r="H40" s="5">
        <f t="shared" si="2"/>
        <v>40200</v>
      </c>
      <c r="I40" s="5">
        <f t="shared" si="3"/>
        <v>13400</v>
      </c>
    </row>
    <row r="41" spans="1:9" x14ac:dyDescent="0.3">
      <c r="A41" s="2">
        <v>44441</v>
      </c>
      <c r="B41" s="3" t="s">
        <v>10</v>
      </c>
      <c r="C41" s="3" t="s">
        <v>21</v>
      </c>
      <c r="D41" s="3" t="s">
        <v>25</v>
      </c>
      <c r="E41" s="4">
        <v>127</v>
      </c>
      <c r="F41" s="5">
        <f t="shared" si="0"/>
        <v>4000</v>
      </c>
      <c r="G41" s="5">
        <f t="shared" si="1"/>
        <v>3000</v>
      </c>
      <c r="H41" s="5">
        <f t="shared" si="2"/>
        <v>508000</v>
      </c>
      <c r="I41" s="5">
        <f t="shared" si="3"/>
        <v>127000</v>
      </c>
    </row>
    <row r="42" spans="1:9" x14ac:dyDescent="0.3">
      <c r="A42" s="2">
        <v>44299</v>
      </c>
      <c r="B42" s="3" t="s">
        <v>26</v>
      </c>
      <c r="C42" s="3" t="s">
        <v>11</v>
      </c>
      <c r="D42" s="3" t="s">
        <v>22</v>
      </c>
      <c r="E42" s="4">
        <v>108</v>
      </c>
      <c r="F42" s="5">
        <f t="shared" si="0"/>
        <v>1000</v>
      </c>
      <c r="G42" s="5">
        <f t="shared" si="1"/>
        <v>700</v>
      </c>
      <c r="H42" s="5">
        <f t="shared" si="2"/>
        <v>108000</v>
      </c>
      <c r="I42" s="5">
        <f t="shared" si="3"/>
        <v>32400</v>
      </c>
    </row>
    <row r="43" spans="1:9" x14ac:dyDescent="0.3">
      <c r="A43" s="2">
        <v>44322</v>
      </c>
      <c r="B43" s="3" t="s">
        <v>17</v>
      </c>
      <c r="C43" s="3" t="s">
        <v>14</v>
      </c>
      <c r="D43" s="3" t="s">
        <v>15</v>
      </c>
      <c r="E43" s="4">
        <v>66</v>
      </c>
      <c r="F43" s="5">
        <f t="shared" si="0"/>
        <v>3500</v>
      </c>
      <c r="G43" s="5">
        <f t="shared" si="1"/>
        <v>2500</v>
      </c>
      <c r="H43" s="5">
        <f t="shared" si="2"/>
        <v>231000</v>
      </c>
      <c r="I43" s="5">
        <f t="shared" si="3"/>
        <v>66000</v>
      </c>
    </row>
    <row r="44" spans="1:9" x14ac:dyDescent="0.3">
      <c r="A44" s="2">
        <v>44211</v>
      </c>
      <c r="B44" s="3" t="s">
        <v>10</v>
      </c>
      <c r="C44" s="3" t="s">
        <v>21</v>
      </c>
      <c r="D44" s="3" t="s">
        <v>12</v>
      </c>
      <c r="E44" s="4">
        <v>78</v>
      </c>
      <c r="F44" s="5">
        <f t="shared" si="0"/>
        <v>6000</v>
      </c>
      <c r="G44" s="5">
        <f t="shared" si="1"/>
        <v>4000</v>
      </c>
      <c r="H44" s="5">
        <f t="shared" si="2"/>
        <v>468000</v>
      </c>
      <c r="I44" s="5">
        <f t="shared" si="3"/>
        <v>156000</v>
      </c>
    </row>
    <row r="45" spans="1:9" x14ac:dyDescent="0.3">
      <c r="A45" s="2">
        <v>44070</v>
      </c>
      <c r="B45" s="3" t="s">
        <v>29</v>
      </c>
      <c r="C45" s="3" t="s">
        <v>18</v>
      </c>
      <c r="D45" s="3" t="s">
        <v>22</v>
      </c>
      <c r="E45" s="4">
        <v>69</v>
      </c>
      <c r="F45" s="5">
        <f t="shared" si="0"/>
        <v>1000</v>
      </c>
      <c r="G45" s="5">
        <f t="shared" si="1"/>
        <v>700</v>
      </c>
      <c r="H45" s="5">
        <f t="shared" si="2"/>
        <v>69000</v>
      </c>
      <c r="I45" s="5">
        <f t="shared" si="3"/>
        <v>20700</v>
      </c>
    </row>
    <row r="46" spans="1:9" x14ac:dyDescent="0.3">
      <c r="A46" s="2">
        <v>44232</v>
      </c>
      <c r="B46" s="3" t="s">
        <v>24</v>
      </c>
      <c r="C46" s="3" t="s">
        <v>11</v>
      </c>
      <c r="D46" s="3" t="s">
        <v>19</v>
      </c>
      <c r="E46" s="4">
        <v>59</v>
      </c>
      <c r="F46" s="5">
        <f t="shared" si="0"/>
        <v>1200</v>
      </c>
      <c r="G46" s="5">
        <f t="shared" si="1"/>
        <v>800</v>
      </c>
      <c r="H46" s="5">
        <f t="shared" si="2"/>
        <v>70800</v>
      </c>
      <c r="I46" s="5">
        <f t="shared" si="3"/>
        <v>23600</v>
      </c>
    </row>
    <row r="47" spans="1:9" x14ac:dyDescent="0.3">
      <c r="A47" s="2">
        <v>44517</v>
      </c>
      <c r="B47" s="3" t="s">
        <v>32</v>
      </c>
      <c r="C47" s="3" t="s">
        <v>18</v>
      </c>
      <c r="D47" s="3" t="s">
        <v>31</v>
      </c>
      <c r="E47" s="4">
        <v>109</v>
      </c>
      <c r="F47" s="5">
        <f t="shared" si="0"/>
        <v>600</v>
      </c>
      <c r="G47" s="5">
        <f t="shared" si="1"/>
        <v>400</v>
      </c>
      <c r="H47" s="5">
        <f t="shared" si="2"/>
        <v>65400</v>
      </c>
      <c r="I47" s="5">
        <f t="shared" si="3"/>
        <v>21800</v>
      </c>
    </row>
    <row r="48" spans="1:9" x14ac:dyDescent="0.3">
      <c r="A48" s="2">
        <v>44193</v>
      </c>
      <c r="B48" s="3" t="s">
        <v>30</v>
      </c>
      <c r="C48" s="3" t="s">
        <v>14</v>
      </c>
      <c r="D48" s="3" t="s">
        <v>25</v>
      </c>
      <c r="E48" s="4">
        <v>61</v>
      </c>
      <c r="F48" s="5">
        <f t="shared" si="0"/>
        <v>4000</v>
      </c>
      <c r="G48" s="5">
        <f t="shared" si="1"/>
        <v>3000</v>
      </c>
      <c r="H48" s="5">
        <f t="shared" si="2"/>
        <v>244000</v>
      </c>
      <c r="I48" s="5">
        <f t="shared" si="3"/>
        <v>61000</v>
      </c>
    </row>
    <row r="49" spans="1:9" x14ac:dyDescent="0.3">
      <c r="A49" s="2">
        <v>44496</v>
      </c>
      <c r="B49" s="3" t="s">
        <v>24</v>
      </c>
      <c r="C49" s="3" t="s">
        <v>21</v>
      </c>
      <c r="D49" s="3" t="s">
        <v>31</v>
      </c>
      <c r="E49" s="4">
        <v>130</v>
      </c>
      <c r="F49" s="5">
        <f t="shared" si="0"/>
        <v>600</v>
      </c>
      <c r="G49" s="5">
        <f t="shared" si="1"/>
        <v>400</v>
      </c>
      <c r="H49" s="5">
        <f t="shared" si="2"/>
        <v>78000</v>
      </c>
      <c r="I49" s="5">
        <f t="shared" si="3"/>
        <v>26000</v>
      </c>
    </row>
    <row r="50" spans="1:9" x14ac:dyDescent="0.3">
      <c r="A50" s="2">
        <v>44502</v>
      </c>
      <c r="B50" s="3" t="s">
        <v>20</v>
      </c>
      <c r="C50" s="3" t="s">
        <v>18</v>
      </c>
      <c r="D50" s="3" t="s">
        <v>15</v>
      </c>
      <c r="E50" s="4">
        <v>60</v>
      </c>
      <c r="F50" s="5">
        <f t="shared" si="0"/>
        <v>3500</v>
      </c>
      <c r="G50" s="5">
        <f t="shared" si="1"/>
        <v>2500</v>
      </c>
      <c r="H50" s="5">
        <f t="shared" si="2"/>
        <v>210000</v>
      </c>
      <c r="I50" s="5">
        <f t="shared" si="3"/>
        <v>60000</v>
      </c>
    </row>
    <row r="51" spans="1:9" x14ac:dyDescent="0.3">
      <c r="A51" s="2">
        <v>43958</v>
      </c>
      <c r="B51" s="3" t="s">
        <v>13</v>
      </c>
      <c r="C51" s="3" t="s">
        <v>14</v>
      </c>
      <c r="D51" s="3" t="s">
        <v>12</v>
      </c>
      <c r="E51" s="4">
        <v>73</v>
      </c>
      <c r="F51" s="5">
        <f t="shared" si="0"/>
        <v>6000</v>
      </c>
      <c r="G51" s="5">
        <f t="shared" si="1"/>
        <v>4000</v>
      </c>
      <c r="H51" s="5">
        <f t="shared" si="2"/>
        <v>438000</v>
      </c>
      <c r="I51" s="5">
        <f t="shared" si="3"/>
        <v>146000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00A81-EDBE-4352-AF89-5AD1AC12C79B}">
  <dimension ref="A2:L13"/>
  <sheetViews>
    <sheetView topLeftCell="B1" workbookViewId="0">
      <selection activeCell="B5" sqref="B5"/>
    </sheetView>
  </sheetViews>
  <sheetFormatPr defaultRowHeight="14.4" x14ac:dyDescent="0.3"/>
  <cols>
    <col min="1" max="1" width="10.5546875" bestFit="1" customWidth="1"/>
    <col min="2" max="2" width="16.77734375" style="10" bestFit="1" customWidth="1"/>
    <col min="5" max="5" width="13.77734375" bestFit="1" customWidth="1"/>
    <col min="6" max="6" width="16.109375" style="12" bestFit="1" customWidth="1"/>
    <col min="8" max="8" width="11.44140625" bestFit="1" customWidth="1"/>
    <col min="9" max="9" width="16.109375" style="11" bestFit="1" customWidth="1"/>
    <col min="11" max="11" width="13.77734375" bestFit="1" customWidth="1"/>
    <col min="12" max="12" width="15.5546875" bestFit="1" customWidth="1"/>
  </cols>
  <sheetData>
    <row r="2" spans="1:12" x14ac:dyDescent="0.3">
      <c r="A2" s="9" t="s">
        <v>2</v>
      </c>
      <c r="B2" s="10" t="s">
        <v>34</v>
      </c>
      <c r="E2" s="9" t="s">
        <v>1</v>
      </c>
      <c r="F2" s="12" t="s">
        <v>34</v>
      </c>
      <c r="H2" s="9" t="s">
        <v>3</v>
      </c>
      <c r="I2" s="11" t="s">
        <v>34</v>
      </c>
      <c r="K2" s="9" t="s">
        <v>1</v>
      </c>
      <c r="L2" s="13" t="s">
        <v>35</v>
      </c>
    </row>
    <row r="3" spans="1:12" x14ac:dyDescent="0.3">
      <c r="A3" t="s">
        <v>14</v>
      </c>
      <c r="B3" s="10">
        <v>3534400</v>
      </c>
      <c r="E3" t="s">
        <v>10</v>
      </c>
      <c r="F3" s="12">
        <v>1591600</v>
      </c>
      <c r="H3" t="s">
        <v>19</v>
      </c>
      <c r="I3" s="11">
        <v>547200</v>
      </c>
      <c r="K3" t="s">
        <v>10</v>
      </c>
      <c r="L3" s="13">
        <v>475</v>
      </c>
    </row>
    <row r="4" spans="1:12" x14ac:dyDescent="0.3">
      <c r="A4" t="s">
        <v>21</v>
      </c>
      <c r="B4" s="10">
        <v>2661400</v>
      </c>
      <c r="E4" t="s">
        <v>30</v>
      </c>
      <c r="F4" s="12">
        <v>677600</v>
      </c>
      <c r="H4" t="s">
        <v>15</v>
      </c>
      <c r="I4" s="11">
        <v>2222500</v>
      </c>
      <c r="K4" t="s">
        <v>30</v>
      </c>
      <c r="L4" s="13">
        <v>401</v>
      </c>
    </row>
    <row r="5" spans="1:12" x14ac:dyDescent="0.3">
      <c r="A5" t="s">
        <v>18</v>
      </c>
      <c r="B5" s="10">
        <v>2870600</v>
      </c>
      <c r="E5" t="s">
        <v>20</v>
      </c>
      <c r="F5" s="12">
        <v>1957000</v>
      </c>
      <c r="H5" t="s">
        <v>31</v>
      </c>
      <c r="I5" s="11">
        <v>706800</v>
      </c>
      <c r="K5" t="s">
        <v>20</v>
      </c>
      <c r="L5" s="13">
        <v>474</v>
      </c>
    </row>
    <row r="6" spans="1:12" x14ac:dyDescent="0.3">
      <c r="A6" t="s">
        <v>11</v>
      </c>
      <c r="B6" s="10">
        <v>3878100</v>
      </c>
      <c r="E6" t="s">
        <v>26</v>
      </c>
      <c r="F6" s="12">
        <v>1661400</v>
      </c>
      <c r="H6" t="s">
        <v>22</v>
      </c>
      <c r="I6" s="11">
        <v>898000</v>
      </c>
      <c r="K6" t="s">
        <v>26</v>
      </c>
      <c r="L6" s="13">
        <v>427</v>
      </c>
    </row>
    <row r="7" spans="1:12" x14ac:dyDescent="0.3">
      <c r="A7" t="s">
        <v>9</v>
      </c>
      <c r="B7" s="10">
        <v>12944500</v>
      </c>
      <c r="E7" t="s">
        <v>29</v>
      </c>
      <c r="F7" s="12">
        <v>1741200</v>
      </c>
      <c r="H7" t="s">
        <v>33</v>
      </c>
      <c r="I7" s="11">
        <v>2350000</v>
      </c>
      <c r="K7" t="s">
        <v>29</v>
      </c>
      <c r="L7" s="13">
        <v>439</v>
      </c>
    </row>
    <row r="8" spans="1:12" x14ac:dyDescent="0.3">
      <c r="E8" t="s">
        <v>17</v>
      </c>
      <c r="F8" s="12">
        <v>1110000</v>
      </c>
      <c r="H8" t="s">
        <v>25</v>
      </c>
      <c r="I8" s="11">
        <v>3196000</v>
      </c>
      <c r="K8" t="s">
        <v>17</v>
      </c>
      <c r="L8" s="13">
        <v>579</v>
      </c>
    </row>
    <row r="9" spans="1:12" x14ac:dyDescent="0.3">
      <c r="E9" t="s">
        <v>13</v>
      </c>
      <c r="F9" s="12">
        <v>1777400</v>
      </c>
      <c r="H9" t="s">
        <v>12</v>
      </c>
      <c r="I9" s="11">
        <v>3024000</v>
      </c>
      <c r="K9" t="s">
        <v>13</v>
      </c>
      <c r="L9" s="13">
        <v>479</v>
      </c>
    </row>
    <row r="10" spans="1:12" x14ac:dyDescent="0.3">
      <c r="E10" t="s">
        <v>24</v>
      </c>
      <c r="F10" s="12">
        <v>1065400</v>
      </c>
      <c r="H10" t="s">
        <v>9</v>
      </c>
      <c r="I10" s="11">
        <v>12944500</v>
      </c>
      <c r="K10" t="s">
        <v>24</v>
      </c>
      <c r="L10" s="13">
        <v>653</v>
      </c>
    </row>
    <row r="11" spans="1:12" x14ac:dyDescent="0.3">
      <c r="E11" t="s">
        <v>32</v>
      </c>
      <c r="F11" s="12">
        <v>784400</v>
      </c>
      <c r="K11" t="s">
        <v>32</v>
      </c>
      <c r="L11" s="13">
        <v>557</v>
      </c>
    </row>
    <row r="12" spans="1:12" x14ac:dyDescent="0.3">
      <c r="E12" t="s">
        <v>28</v>
      </c>
      <c r="F12" s="12">
        <v>578500</v>
      </c>
      <c r="K12" t="s">
        <v>28</v>
      </c>
      <c r="L12" s="13">
        <v>221</v>
      </c>
    </row>
    <row r="13" spans="1:12" x14ac:dyDescent="0.3">
      <c r="E13" t="s">
        <v>9</v>
      </c>
      <c r="F13" s="12">
        <v>12944500</v>
      </c>
      <c r="K13" t="s">
        <v>9</v>
      </c>
      <c r="L13" s="13">
        <v>4705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92BEE-8DB8-4054-B734-5C8B8607820F}">
  <dimension ref="A1"/>
  <sheetViews>
    <sheetView showGridLines="0" showRowColHeaders="0" tabSelected="1" zoomScale="70" zoomScaleNormal="70" workbookViewId="0">
      <selection activeCell="Z64" sqref="Z6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Ashmitha E</cp:lastModifiedBy>
  <cp:revision/>
  <dcterms:created xsi:type="dcterms:W3CDTF">2026-04-26T15:50:25Z</dcterms:created>
  <dcterms:modified xsi:type="dcterms:W3CDTF">2026-04-27T16:46:04Z</dcterms:modified>
  <cp:category/>
  <cp:contentStatus/>
</cp:coreProperties>
</file>